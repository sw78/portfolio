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ne wejściowe" sheetId="1" state="visible" r:id="rId3"/>
    <sheet name="Obliczenia" sheetId="2" state="visible" r:id="rId4"/>
    <sheet name="Historia miesięczna" sheetId="3" state="visible" r:id="rId5"/>
    <sheet name="📊 Dashboard" sheetId="4" state="visible" r:id="rId6"/>
    <sheet name="Dane_Wyk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<sst xmlns="http://schemas.openxmlformats.org/spreadsheetml/2006/main" count="181" uniqueCount="170">
  <si>
    <t xml:space="preserve">💧  KALKULATOR ROZLICZENIA WODY  –  Rodzina A / Rodzina B</t>
  </si>
  <si>
    <t xml:space="preserve">Wypełniaj tylko pola niebieskie. Pola szare są obliczane automatycznie.</t>
  </si>
  <si>
    <t xml:space="preserve">  1 │ DANE Z FAKTURY</t>
  </si>
  <si>
    <t xml:space="preserve">Pozycja</t>
  </si>
  <si>
    <t xml:space="preserve">Cena netto
(zł/m³ lub zł/szt)</t>
  </si>
  <si>
    <t xml:space="preserve">Ilość
(m³ lub szt)</t>
  </si>
  <si>
    <t xml:space="preserve">Wartość netto (zł)</t>
  </si>
  <si>
    <t xml:space="preserve">VAT
(%)</t>
  </si>
  <si>
    <t xml:space="preserve">Kwota VAT (zł)</t>
  </si>
  <si>
    <t xml:space="preserve">Wartość brutto (zł)</t>
  </si>
  <si>
    <t xml:space="preserve">Dostawa wody (zmienna, wg wskazań licznika)</t>
  </si>
  <si>
    <t xml:space="preserve">Opłata stała za wodę (abonament)</t>
  </si>
  <si>
    <t xml:space="preserve">Odprowadzenie ścieków (zmienna, wg wskazań)</t>
  </si>
  <si>
    <t xml:space="preserve">Opłata stała za ścieki (abonament)</t>
  </si>
  <si>
    <t xml:space="preserve">RAZEM FAKTURA</t>
  </si>
  <si>
    <t xml:space="preserve">  2 │ GŁÓWNY LICZNIK WODY (odczyt z faktury / zlecenia)</t>
  </si>
  <si>
    <t xml:space="preserve">Okres rozliczeniowy – OD</t>
  </si>
  <si>
    <t xml:space="preserve">← data początku okresu rozliczeniowego z faktury</t>
  </si>
  <si>
    <t xml:space="preserve">Okres rozliczeniowy – DO</t>
  </si>
  <si>
    <t xml:space="preserve">← data końca okresu rozliczeniowego z faktury</t>
  </si>
  <si>
    <t xml:space="preserve">Liczba dni okresu (obliczona)</t>
  </si>
  <si>
    <t xml:space="preserve">Nr licznika (informacyjnie)</t>
  </si>
  <si>
    <t xml:space="preserve">← np. 23219092 (z faktury)</t>
  </si>
  <si>
    <t xml:space="preserve">Stan licznika POPRZEDNI (m³)</t>
  </si>
  <si>
    <t xml:space="preserve">← poprzedni stan z faktury</t>
  </si>
  <si>
    <t xml:space="preserve">Stan licznika AKTUALNY (m³)</t>
  </si>
  <si>
    <t xml:space="preserve">← aktualny stan z faktury</t>
  </si>
  <si>
    <t xml:space="preserve">Łączne zużycie wg faktury (m³)</t>
  </si>
  <si>
    <t xml:space="preserve">⚙️  Pierwszy miesiąc – wyłącz korektę proporcjonalną?</t>
  </si>
  <si>
    <t xml:space="preserve">NIE</t>
  </si>
  <si>
    <t xml:space="preserve">← TAK (pierwszy okres) = brak wcześniejszego zsynchronizowanego odczytu, korekta proporcjonalna wyłączona  |  NIE = normalny miesiąc, korekta aktywna</t>
  </si>
  <si>
    <t xml:space="preserve">  3 │ PODLICZNIK – RODZINA B</t>
  </si>
  <si>
    <t xml:space="preserve">Pole</t>
  </si>
  <si>
    <t xml:space="preserve">Odczyt / Data</t>
  </si>
  <si>
    <t xml:space="preserve">Komentarz</t>
  </si>
  <si>
    <t xml:space="preserve">Data odczytu POPRZEDNIEGO</t>
  </si>
  <si>
    <t xml:space="preserve">← powinna pokrywać się z początkiem okresu faktury</t>
  </si>
  <si>
    <t xml:space="preserve">Stan podlicznika POPRZEDNIEGO (m³)</t>
  </si>
  <si>
    <t xml:space="preserve">← poprzedni odczyt Twojego podlicznika</t>
  </si>
  <si>
    <t xml:space="preserve">Data odczytu BIEŻĄCEGO</t>
  </si>
  <si>
    <t xml:space="preserve">← powinna pokrywać się z końcem okresu faktury</t>
  </si>
  <si>
    <t xml:space="preserve">Stan podlicznika BIEŻĄCEGO (m³)</t>
  </si>
  <si>
    <t xml:space="preserve">← bieżący odczyt Twojego podlicznika</t>
  </si>
  <si>
    <t xml:space="preserve">Liczba dni pomiaru B</t>
  </si>
  <si>
    <t xml:space="preserve">Zużycie zmierzone B (m³)</t>
  </si>
  <si>
    <t xml:space="preserve">Korekta proporcjonalna B (do okresu faktury)</t>
  </si>
  <si>
    <t xml:space="preserve">← jeśli daty podlicznika B różnią się od okresu faktury, zużycie jest proporcjonalnie przeliczane</t>
  </si>
  <si>
    <t xml:space="preserve">⚙️  ALGORYTM KOREKTY PROPORCJONALNEJ</t>
  </si>
  <si>
    <t xml:space="preserve">Przykład: zmierzyłeś 10 m³ w ciągu 29 dni, a faktura obejmuje 34 dni →  10 ÷ 29 × 34 = 11,72 m³  (proporcjonalnie więcej, bo okres faktury jest dłuższy).</t>
  </si>
  <si>
    <t xml:space="preserve">NIE (normalny miesiąc) → korekta aktywna  |  TAK (pierwszy okres) → korekta wyłączona, używa się surowego zużycia z podlicznika.</t>
  </si>
  <si>
    <t xml:space="preserve">  LEGENDA / INSTRUKCJA WYPEŁNIANIA</t>
  </si>
  <si>
    <t xml:space="preserve">🔵 Komórki niebieskie</t>
  </si>
  <si>
    <t xml:space="preserve">Dane do wpisania ręcznie (z faktury lub odczytu licznika)</t>
  </si>
  <si>
    <t xml:space="preserve">⬛ Komórki szare</t>
  </si>
  <si>
    <t xml:space="preserve">Obliczenia automatyczne – nie edytuj</t>
  </si>
  <si>
    <t xml:space="preserve">🟢 Komórki zielone</t>
  </si>
  <si>
    <t xml:space="preserve">Wynik końcowy (kwota do zapłaty)</t>
  </si>
  <si>
    <t xml:space="preserve">📅 Daty</t>
  </si>
  <si>
    <t xml:space="preserve">Wpisuj w formacie DD.MM.RRRR</t>
  </si>
  <si>
    <t xml:space="preserve">⚠️ Korekta proporcjonalna</t>
  </si>
  <si>
    <t xml:space="preserve">Jeśli daty podlicznika różnią się od okresu faktury, model automatycznie przelicza zużycie proporcjonalnie do liczby dni.</t>
  </si>
  <si>
    <t xml:space="preserve">📋 Arkusz "Historia"</t>
  </si>
  <si>
    <t xml:space="preserve">Po każdym miesiącu wpisz wyniki do historii, aby śledzić trendy.</t>
  </si>
  <si>
    <t xml:space="preserve">💧  OBLICZENIA PODZIAŁU KOSZTÓW WODY</t>
  </si>
  <si>
    <t xml:space="preserve">  A │ ZUŻYCIA m³</t>
  </si>
  <si>
    <t xml:space="preserve">Składnik</t>
  </si>
  <si>
    <t xml:space="preserve">m³</t>
  </si>
  <si>
    <t xml:space="preserve">Uwagi</t>
  </si>
  <si>
    <t xml:space="preserve">Łącznie wg faktury</t>
  </si>
  <si>
    <t xml:space="preserve">z sekcji 2 arkusza Dane wejściowe</t>
  </si>
  <si>
    <t xml:space="preserve">Rodzina B – zmierzone (skorygowane)</t>
  </si>
  <si>
    <t xml:space="preserve">proporcjonalnie skorygowane zużycie podlicznika B</t>
  </si>
  <si>
    <t xml:space="preserve">Rodzina A – własne (obliczone)</t>
  </si>
  <si>
    <t xml:space="preserve">Reszta po odjęciu B</t>
  </si>
  <si>
    <t xml:space="preserve">Kontrola (A+B powinno = łącznie)</t>
  </si>
  <si>
    <t xml:space="preserve">Powinno równać się wierszowi "Łącznie wg faktury"</t>
  </si>
  <si>
    <t xml:space="preserve">  B │ STAWKI</t>
  </si>
  <si>
    <t xml:space="preserve">Stawka</t>
  </si>
  <si>
    <t xml:space="preserve">Wartość</t>
  </si>
  <si>
    <t xml:space="preserve">Opis</t>
  </si>
  <si>
    <t xml:space="preserve">Stawka wody zmiennej NETTO (zł/m³)</t>
  </si>
  <si>
    <t xml:space="preserve">cena z faktury – dostawa wody</t>
  </si>
  <si>
    <t xml:space="preserve">Stawka ścieków zmiennej NETTO (zł/m³)</t>
  </si>
  <si>
    <t xml:space="preserve">cena z faktury – odprowadzenie ścieków</t>
  </si>
  <si>
    <t xml:space="preserve">VAT woda/ścieki (%)</t>
  </si>
  <si>
    <t xml:space="preserve">VAT dla obu składników zmiennych</t>
  </si>
  <si>
    <t xml:space="preserve">Stawka wody BRUTTO (zł/m³)</t>
  </si>
  <si>
    <t xml:space="preserve">stawka wody z VAT</t>
  </si>
  <si>
    <t xml:space="preserve">Stawka ścieków BRUTTO (zł/m³)</t>
  </si>
  <si>
    <t xml:space="preserve">stawka ścieków z VAT</t>
  </si>
  <si>
    <t xml:space="preserve">Opłata stała – woda BRUTTO (zł)</t>
  </si>
  <si>
    <t xml:space="preserve">z faktury – opłata stała woda</t>
  </si>
  <si>
    <t xml:space="preserve">Opłata stała – ścieki BRUTTO (zł)</t>
  </si>
  <si>
    <t xml:space="preserve">z faktury – opłata stała ścieki</t>
  </si>
  <si>
    <t xml:space="preserve">Koszty stałe BRUTTO łącznie (zł)</t>
  </si>
  <si>
    <t xml:space="preserve">suma obu opłat stałych</t>
  </si>
  <si>
    <t xml:space="preserve">Koszty stałe BRUTTO na rodzinę (zł/2)</t>
  </si>
  <si>
    <t xml:space="preserve">podział 50/50</t>
  </si>
  <si>
    <t xml:space="preserve">  C │ WYNIK KOŃCOWY</t>
  </si>
  <si>
    <t xml:space="preserve">Składnik kosztu</t>
  </si>
  <si>
    <t xml:space="preserve">Rodzina A (zł)</t>
  </si>
  <si>
    <t xml:space="preserve">Rodzina B (zł)</t>
  </si>
  <si>
    <t xml:space="preserve">Woda zmienna (zużycie × stawka brutto)</t>
  </si>
  <si>
    <t xml:space="preserve">Ścieki zmienne (zużycie × stawka brutto)</t>
  </si>
  <si>
    <t xml:space="preserve">Koszty stałe (50% / 50%)</t>
  </si>
  <si>
    <t xml:space="preserve">DO ZAPŁATY</t>
  </si>
  <si>
    <t xml:space="preserve">Kontrola (A+B = suma faktury)</t>
  </si>
  <si>
    <t xml:space="preserve">  D │ SZCZEGÓŁY PODZIAŁU m³</t>
  </si>
  <si>
    <t xml:space="preserve">Rodzina A</t>
  </si>
  <si>
    <t xml:space="preserve">Rodzina B</t>
  </si>
  <si>
    <t xml:space="preserve">Razem</t>
  </si>
  <si>
    <t xml:space="preserve">Zużycie własne (m³)</t>
  </si>
  <si>
    <t xml:space="preserve">Udział procentowy (%)</t>
  </si>
  <si>
    <t xml:space="preserve">  E │ OSTRZEŻENIA O SYNCHRONIZACJI DAT</t>
  </si>
  <si>
    <t xml:space="preserve">Licznik B – data OD vs faktura OD</t>
  </si>
  <si>
    <t xml:space="preserve">Licznik B – data DO vs faktura DO</t>
  </si>
  <si>
    <t xml:space="preserve">📅  HISTORIA MIESIĘCZNA ROZLICZEŃ WODY</t>
  </si>
  <si>
    <t xml:space="preserve">Wiersz "Bieżący miesiąc" aktualizuje się automatycznie. Po zakończeniu okresu skopiuj go jako wartości do archiwum (wiersz 8+), a następnie wprowadź dane nowego miesiąca w arkuszu "Dane wejściowe".</t>
  </si>
  <si>
    <t xml:space="preserve">Miesiąc
(faktura DO)</t>
  </si>
  <si>
    <t xml:space="preserve">m³
faktura</t>
  </si>
  <si>
    <t xml:space="preserve">m³
Rodz. B</t>
  </si>
  <si>
    <t xml:space="preserve">m³
Rodz. A</t>
  </si>
  <si>
    <t xml:space="preserve">Faktura
BRUTTO (zł)</t>
  </si>
  <si>
    <t xml:space="preserve">Do zapłaty
Rodz. A (zł)</t>
  </si>
  <si>
    <t xml:space="preserve">Do zapłaty
Rodz. B (zł)</t>
  </si>
  <si>
    <t xml:space="preserve">Kontrola
A+B (zł)</t>
  </si>
  <si>
    <t xml:space="preserve">Stawka wody
zł/m³ brutto</t>
  </si>
  <si>
    <t xml:space="preserve">Stawka ścieków
zł/m³ brutto</t>
  </si>
  <si>
    <t xml:space="preserve">Koszty stałe
(zł)</t>
  </si>
  <si>
    <t xml:space="preserve">🔄  BIEŻĄCY MIESIĄC (aktualizuje się automatycznie z arkusza Obliczenia)</t>
  </si>
  <si>
    <t xml:space="preserve">📋  ARCHIWUM  –  aby zapisać bieżący miesiąc: zaznacz wiersz 5 → Kopiuj → kliknij pierwszy pusty wiersz poniżej → Wklej specjalnie → Tylko wartości</t>
  </si>
  <si>
    <t xml:space="preserve">💧  DASHBOARD ROZLICZENIA WODY  –  Rodzina A / Rodzina B</t>
  </si>
  <si>
    <t xml:space="preserve">🔄 Dane aktualizują się automatycznie z arkuszy "Obliczenia" i "Historia miesięczna"   | Wykresy pojawiają się po zapisaniu ≥ 2 miesięcy w archiwum.</t>
  </si>
  <si>
    <t xml:space="preserve">BIEŻĄCA FAKTURA</t>
  </si>
  <si>
    <t xml:space="preserve">RODZINA A – płaci</t>
  </si>
  <si>
    <t xml:space="preserve">RODZINA B – płaci</t>
  </si>
  <si>
    <t xml:space="preserve">ŁĄCZNIE m³</t>
  </si>
  <si>
    <t xml:space="preserve">bieżący okres</t>
  </si>
  <si>
    <t xml:space="preserve">bieżący miesiąc</t>
  </si>
  <si>
    <t xml:space="preserve">  📊 Koszty miesięczne – Rodzina A vs B</t>
  </si>
  <si>
    <t xml:space="preserve">  📊 Zużycie m³ – podział miesięczny</t>
  </si>
  <si>
    <t xml:space="preserve">  📊 Trend stawki wody (zł/m³ brutto)</t>
  </si>
  <si>
    <t xml:space="preserve">  📊 Porównanie kosztów A vs B (%)</t>
  </si>
  <si>
    <t xml:space="preserve">  📋 Bieżący miesiąc – szczegółowy podział</t>
  </si>
  <si>
    <t xml:space="preserve">Udział m³</t>
  </si>
  <si>
    <t xml:space="preserve">Koszt (zł)</t>
  </si>
  <si>
    <t xml:space="preserve">Udział kosztu</t>
  </si>
  <si>
    <t xml:space="preserve">RAZEM</t>
  </si>
  <si>
    <t xml:space="preserve">  📋 Statystyki historyczne (archiwum)</t>
  </si>
  <si>
    <t xml:space="preserve">Wskaźnik</t>
  </si>
  <si>
    <t xml:space="preserve">Średnia płatność (zł)</t>
  </si>
  <si>
    <t xml:space="preserve">z dostępnych miesięcy w archiwum</t>
  </si>
  <si>
    <t xml:space="preserve">Maks. płatność (zł)</t>
  </si>
  <si>
    <t xml:space="preserve">Min. płatność (zł)</t>
  </si>
  <si>
    <t xml:space="preserve">Łączne zużycie m³ (suma)</t>
  </si>
  <si>
    <t xml:space="preserve">A i B = zużycie własne</t>
  </si>
  <si>
    <t xml:space="preserve">Łączna suma zapłacona (zł)</t>
  </si>
  <si>
    <t xml:space="preserve">suma zarchiwizowanych miesięcy</t>
  </si>
  <si>
    <t xml:space="preserve">Liczba zarchiwizowanych mies.</t>
  </si>
  <si>
    <t xml:space="preserve">Pokaż ostatnie N miesięcy (Dashboard):</t>
  </si>
  <si>
    <t xml:space="preserve">#</t>
  </si>
  <si>
    <t xml:space="preserve">Miesiąc</t>
  </si>
  <si>
    <t xml:space="preserve">m³ Razem</t>
  </si>
  <si>
    <t xml:space="preserve">m³ A</t>
  </si>
  <si>
    <t xml:space="preserve">m³ B</t>
  </si>
  <si>
    <t xml:space="preserve">Faktura (zł)</t>
  </si>
  <si>
    <t xml:space="preserve">Koszt A (zł)</t>
  </si>
  <si>
    <t xml:space="preserve">Koszt B (zł)</t>
  </si>
  <si>
    <t xml:space="preserve">Stawka wody
zł/m³</t>
  </si>
  <si>
    <t xml:space="preserve">ℹ️  Dane pojawiają się w wykresach dopiero po zapisaniu ≥ 2 miesięcy w archiwum (Historia miesięczna).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</si>
</sst>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"/>
    <numFmt numFmtId="166" formatCode="0"/>
    <numFmt numFmtId="167" formatCode="#,##0.00&quot; zł&quot;"/>
    <numFmt numFmtId="168" formatCode="dd\.mm\.yyyy"/>
    <numFmt numFmtId="169" formatCode="0&quot; dni&quot;"/>
    <numFmt numFmtId="170" formatCode="#,##0.000"/>
    <numFmt numFmtId="171" formatCode="#,##0.00&quot; m³&quot;"/>
    <numFmt numFmtId="172" formatCode="0&quot; %&quot;"/>
    <numFmt numFmtId="173" formatCode="0.0%"/>
    <numFmt numFmtId="174" formatCode="#,##0.000&quot; zł/m³&quot;"/>
    <numFmt numFmtId="175" formatCode="#,##0.000&quot; m³&quot;"/>
    <numFmt numFmtId="176" formatCode="#,##0"/>
    <numFmt numFmtId="177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1F4E79"/>
      <name val="Calibri"/>
      <family val="0"/>
      <charset val="1"/>
    </font>
    <font>
      <i val="true"/>
      <sz val="9"/>
      <color rgb="FF375623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20"/>
      <color rgb="FF1F4E79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0F7FF"/>
      </patternFill>
    </fill>
    <fill>
      <patternFill patternType="solid">
        <fgColor rgb="FFF2F2F2"/>
        <bgColor rgb="FFF5F5F5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6E4F0"/>
      </patternFill>
    </fill>
    <fill>
      <patternFill patternType="solid">
        <fgColor rgb="FFF0F7FF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D6E4F0"/>
        <bgColor rgb="FFDEEAF1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78787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5F5F5"/>
      <rgbColor rgb="FFF2F2F2"/>
      <rgbColor rgb="FFF0F7FF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l-P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l-PL" sz="1800" spc="-1" strike="noStrike">
                <a:solidFill>
                  <a:srgbClr val="000000"/>
                </a:solidFill>
                <a:latin typeface="Calibri"/>
              </a:rPr>
              <a:t>Koszty miesięczne – Rodzina A vs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Dane_Wykres!$G$3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Dane_Wykres!$B$3:$B$26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Dane_Wykres!$G$3:$G$26</c:f>
              <c:numCache>
                <c:formatCode>General</c:formatCode>
                <c:ptCount val="24"/>
              </c:numCache>
            </c:numRef>
          </c:val>
        </c:ser>
        <c:ser>
          <c:idx val="1"/>
          <c:order val="1"/>
          <c:tx>
            <c:strRef>
              <c:f>Dane_Wykres!$H$3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Dane_Wykres!$B$3:$B$26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Dane_Wykres!$H$3:$H$26</c:f>
              <c:numCache>
                <c:formatCode>General</c:formatCode>
                <c:ptCount val="24"/>
              </c:numCache>
            </c:numRef>
          </c:val>
        </c:ser>
        <c:gapWidth val="150"/>
        <c:overlap val="-10"/>
        <c:axId val="79923392"/>
        <c:axId val="4724121"/>
      </c:barChart>
      <c:catAx>
        <c:axId val="79923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4121"/>
        <c:auto val="1"/>
        <c:lblAlgn val="ctr"/>
        <c:lblOffset val="100"/>
        <c:noMultiLvlLbl val="0"/>
      </c:catAx>
      <c:valAx>
        <c:axId val="4724121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zł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23392"/>
        <c:crossBetween val="between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l-P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l-PL" sz="1800" spc="-1" strike="noStrike">
                <a:solidFill>
                  <a:srgbClr val="000000"/>
                </a:solidFill>
                <a:latin typeface="Calibri"/>
              </a:rPr>
              <a:t>Zużycie m³ – podział miesięczny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Dane_Wykres!$D$3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Dane_Wykres!$B$3:$B$26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Dane_Wykres!$D$3:$D$26</c:f>
              <c:numCache>
                <c:formatCode>General</c:formatCode>
                <c:ptCount val="24"/>
              </c:numCache>
            </c:numRef>
          </c:val>
        </c:ser>
        <c:ser>
          <c:idx val="1"/>
          <c:order val="1"/>
          <c:tx>
            <c:strRef>
              <c:f>Dane_Wykres!$E$3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Dane_Wykres!$B$3:$B$26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Dane_Wykres!$E$3:$E$26</c:f>
              <c:numCache>
                <c:formatCode>General</c:formatCode>
                <c:ptCount val="24"/>
              </c:numCache>
            </c:numRef>
          </c:val>
        </c:ser>
        <c:gapWidth val="150"/>
        <c:overlap val="100"/>
        <c:axId val="57334451"/>
        <c:axId val="47826408"/>
      </c:barChart>
      <c:catAx>
        <c:axId val="57334451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26408"/>
        <c:crosses val="autoZero"/>
        <c:auto val="1"/>
        <c:lblAlgn val="ctr"/>
        <c:lblOffset val="100"/>
        <c:noMultiLvlLbl val="0"/>
      </c:catAx>
      <c:valAx>
        <c:axId val="47826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m³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344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l-P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l-PL" sz="1800" spc="-1" strike="noStrike">
                <a:solidFill>
                  <a:srgbClr val="000000"/>
                </a:solidFill>
                <a:latin typeface="Calibri"/>
              </a:rPr>
              <a:t>Trend stawki wody (zł/m³ brutto)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Dane_Wykres!$I$3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1f4e79"/>
            </a:solidFill>
            <a:ln w="2484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errBars>
            <c:errDir val="y"/>
            <c:errBarType val="both"/>
            <c:errValType val="stdErr"/>
            <c:noEndCap val="0"/>
            <c:val val="0"/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Dane_Wykres!$B$3:$B$26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Dane_Wykres!$I$3:$I$26</c:f>
              <c:numCache>
                <c:formatCode>General</c:formatCode>
                <c:ptCount val="24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2565908"/>
        <c:axId val="91887194"/>
      </c:lineChart>
      <c:catAx>
        <c:axId val="32565908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87194"/>
        <c:crosses val="autoZero"/>
        <c:auto val="1"/>
        <c:lblAlgn val="ctr"/>
        <c:lblOffset val="100"/>
        <c:noMultiLvlLbl val="0"/>
      </c:catAx>
      <c:valAx>
        <c:axId val="91887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zł/m³</a:t>
                </a:r>
              </a:p>
            </c:rich>
          </c:tx>
          <c:layout>
            <c:manualLayout>
              <c:xMode val="edge"/>
              <c:yMode val="edge"/>
              <c:x val="0.0212"/>
              <c:y val="0.85677118992195"/>
            </c:manualLayout>
          </c:layout>
          <c:overlay val="0"/>
          <c:spPr>
            <a:noFill/>
            <a:ln w="0">
              <a:noFill/>
            </a:ln>
          </c:spPr>
        </c:title>
        <c:numFmt formatCode="#,##0.0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659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l-P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l-PL" sz="1800" spc="-1" strike="noStrike">
                <a:solidFill>
                  <a:srgbClr val="000000"/>
                </a:solidFill>
                <a:latin typeface="Calibri"/>
              </a:rPr>
              <a:t>Porównanie udziału kosztów A vs B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Dane_Wykres!$G$3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Dane_Wykres!$B$3:$B$26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Dane_Wykres!$G$3:$G$26</c:f>
              <c:numCache>
                <c:formatCode>General</c:formatCode>
                <c:ptCount val="24"/>
              </c:numCache>
            </c:numRef>
          </c:val>
        </c:ser>
        <c:ser>
          <c:idx val="1"/>
          <c:order val="1"/>
          <c:tx>
            <c:strRef>
              <c:f>Dane_Wykres!$H$3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Dane_Wykres!$B$3:$B$26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Dane_Wykres!$H$3:$H$26</c:f>
              <c:numCache>
                <c:formatCode>General</c:formatCode>
                <c:ptCount val="24"/>
              </c:numCache>
            </c:numRef>
          </c:val>
        </c:ser>
        <c:gapWidth val="150"/>
        <c:overlap val="100"/>
        <c:axId val="12379089"/>
        <c:axId val="52217867"/>
      </c:barChart>
      <c:catAx>
        <c:axId val="12379089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17867"/>
        <c:crosses val="autoZero"/>
        <c:auto val="1"/>
        <c:lblAlgn val="ctr"/>
        <c:lblOffset val="100"/>
        <c:noMultiLvlLbl val="0"/>
      </c:catAx>
      <c:valAx>
        <c:axId val="52217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790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171360</xdr:colOff>
      <xdr:row>0</xdr:row>
      <xdr:rowOff>123840</xdr:rowOff>
    </xdr:from>
    <xdr:to>
      <xdr:col>21</xdr:col>
      <xdr:colOff>32760</xdr:colOff>
      <xdr:row>12</xdr:row>
      <xdr:rowOff>114120</xdr:rowOff>
    </xdr:to>
    <xdr:graphicFrame>
      <xdr:nvGraphicFramePr>
        <xdr:cNvPr id="0" name="Chart 1"/>
        <xdr:cNvGraphicFramePr/>
      </xdr:nvGraphicFramePr>
      <xdr:xfrm>
        <a:off x="10532520" y="123840"/>
        <a:ext cx="7199640" cy="230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190440</xdr:colOff>
      <xdr:row>13</xdr:row>
      <xdr:rowOff>66600</xdr:rowOff>
    </xdr:from>
    <xdr:to>
      <xdr:col>21</xdr:col>
      <xdr:colOff>51840</xdr:colOff>
      <xdr:row>25</xdr:row>
      <xdr:rowOff>65880</xdr:rowOff>
    </xdr:to>
    <xdr:graphicFrame>
      <xdr:nvGraphicFramePr>
        <xdr:cNvPr id="1" name="Chart 2"/>
        <xdr:cNvGraphicFramePr/>
      </xdr:nvGraphicFramePr>
      <xdr:xfrm>
        <a:off x="10551600" y="2571840"/>
        <a:ext cx="7199640" cy="228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219240</xdr:colOff>
      <xdr:row>40</xdr:row>
      <xdr:rowOff>142920</xdr:rowOff>
    </xdr:from>
    <xdr:to>
      <xdr:col>21</xdr:col>
      <xdr:colOff>80640</xdr:colOff>
      <xdr:row>54</xdr:row>
      <xdr:rowOff>66600</xdr:rowOff>
    </xdr:to>
    <xdr:graphicFrame>
      <xdr:nvGraphicFramePr>
        <xdr:cNvPr id="2" name="Chart 3"/>
        <xdr:cNvGraphicFramePr/>
      </xdr:nvGraphicFramePr>
      <xdr:xfrm>
        <a:off x="10580400" y="7705800"/>
        <a:ext cx="719964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181080</xdr:colOff>
      <xdr:row>25</xdr:row>
      <xdr:rowOff>162000</xdr:rowOff>
    </xdr:from>
    <xdr:to>
      <xdr:col>21</xdr:col>
      <xdr:colOff>42480</xdr:colOff>
      <xdr:row>40</xdr:row>
      <xdr:rowOff>19080</xdr:rowOff>
    </xdr:to>
    <xdr:graphicFrame>
      <xdr:nvGraphicFramePr>
        <xdr:cNvPr id="3" name="Chart 4"/>
        <xdr:cNvGraphicFramePr/>
      </xdr:nvGraphicFramePr>
      <xdr:xfrm>
        <a:off x="10542240" y="4953240"/>
        <a:ext cx="719964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7" activeCellId="0" sqref="A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.42"/>
    <col collapsed="false" customWidth="true" hidden="false" outlineLevel="0" max="2" min="2" style="0" width="45"/>
    <col collapsed="false" customWidth="true" hidden="false" outlineLevel="0" max="3" min="3" style="0" width="18.4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customFormat="false" ht="15.75" hidden="false" customHeight="true" outlineLevel="0" collapsed="false">
      <c r="B6" s="5" t="s">
        <v>10</v>
      </c>
      <c r="C6" s="6" t="n">
        <v>3.05</v>
      </c>
      <c r="D6" s="7" t="n">
        <f aca="false">IFERROR(C19,"")</f>
        <v>58</v>
      </c>
      <c r="E6" s="7" t="n">
        <f aca="false">IFERROR(C6*D6,"")</f>
        <v>176.9</v>
      </c>
      <c r="F6" s="8" t="n">
        <v>8</v>
      </c>
      <c r="G6" s="7" t="n">
        <f aca="false">IFERROR(E6*F6/100,"")</f>
        <v>14.152</v>
      </c>
      <c r="H6" s="9" t="n">
        <f aca="false">IFERROR(E6+G6,"")</f>
        <v>191.052</v>
      </c>
    </row>
    <row r="7" customFormat="false" ht="15.75" hidden="false" customHeight="true" outlineLevel="0" collapsed="false">
      <c r="B7" s="5" t="s">
        <v>11</v>
      </c>
      <c r="C7" s="6" t="n">
        <v>15.8</v>
      </c>
      <c r="D7" s="6" t="n">
        <v>1</v>
      </c>
      <c r="E7" s="7" t="n">
        <f aca="false">IFERROR(C7*D7,"")</f>
        <v>15.8</v>
      </c>
      <c r="F7" s="8" t="n">
        <v>8</v>
      </c>
      <c r="G7" s="7" t="n">
        <f aca="false">IFERROR(E7*F7/100,"")</f>
        <v>1.264</v>
      </c>
      <c r="H7" s="9" t="n">
        <f aca="false">IFERROR(E7+G7,"")</f>
        <v>17.064</v>
      </c>
    </row>
    <row r="8" customFormat="false" ht="15.75" hidden="false" customHeight="true" outlineLevel="0" collapsed="false">
      <c r="B8" s="5" t="s">
        <v>12</v>
      </c>
      <c r="C8" s="6" t="n">
        <v>5.4</v>
      </c>
      <c r="D8" s="7" t="n">
        <f aca="false">IFERROR(C19,"")</f>
        <v>58</v>
      </c>
      <c r="E8" s="7" t="n">
        <f aca="false">IFERROR(C8*D8,"")</f>
        <v>313.2</v>
      </c>
      <c r="F8" s="8" t="n">
        <v>8</v>
      </c>
      <c r="G8" s="7" t="n">
        <f aca="false">IFERROR(E8*F8/100,"")</f>
        <v>25.056</v>
      </c>
      <c r="H8" s="9" t="n">
        <f aca="false">IFERROR(E8+G8,"")</f>
        <v>338.256</v>
      </c>
    </row>
    <row r="9" customFormat="false" ht="15.75" hidden="false" customHeight="true" outlineLevel="0" collapsed="false">
      <c r="B9" s="5" t="s">
        <v>13</v>
      </c>
      <c r="C9" s="6" t="n">
        <v>16.2</v>
      </c>
      <c r="D9" s="6" t="n">
        <v>1</v>
      </c>
      <c r="E9" s="7" t="n">
        <f aca="false">IFERROR(C9*D9,"")</f>
        <v>16.2</v>
      </c>
      <c r="F9" s="8" t="n">
        <v>8</v>
      </c>
      <c r="G9" s="7" t="n">
        <f aca="false">IFERROR(E9*F9/100,"")</f>
        <v>1.296</v>
      </c>
      <c r="H9" s="9" t="n">
        <f aca="false">IFERROR(E9+G9,"")</f>
        <v>17.496</v>
      </c>
    </row>
    <row r="10" customFormat="false" ht="15.75" hidden="false" customHeight="true" outlineLevel="0" collapsed="false">
      <c r="B10" s="5" t="s">
        <v>14</v>
      </c>
      <c r="E10" s="7" t="n">
        <f aca="false">IFERROR(SUM(E6:E9),"")</f>
        <v>522.1</v>
      </c>
      <c r="G10" s="7" t="n">
        <f aca="false">IFERROR(SUM(G6:G9),"")</f>
        <v>41.768</v>
      </c>
      <c r="H10" s="10" t="n">
        <f aca="false">IFERROR(SUM(H6:H9),"")</f>
        <v>563.868</v>
      </c>
    </row>
    <row r="11" customFormat="false" ht="6" hidden="false" customHeight="true" outlineLevel="0" collapsed="false"/>
    <row r="12" customFormat="false" ht="15.75" hidden="false" customHeight="true" outlineLevel="0" collapsed="false">
      <c r="A12" s="3" t="s">
        <v>15</v>
      </c>
      <c r="B12" s="3"/>
      <c r="C12" s="3"/>
      <c r="D12" s="3"/>
      <c r="E12" s="3"/>
      <c r="F12" s="3"/>
      <c r="G12" s="3"/>
      <c r="H12" s="3"/>
    </row>
    <row r="13" customFormat="false" ht="15.75" hidden="false" customHeight="true" outlineLevel="0" collapsed="false">
      <c r="B13" s="5" t="s">
        <v>16</v>
      </c>
      <c r="C13" s="11" t="n">
        <v>46113</v>
      </c>
      <c r="H13" s="12" t="s">
        <v>17</v>
      </c>
    </row>
    <row r="14" customFormat="false" ht="15.75" hidden="false" customHeight="true" outlineLevel="0" collapsed="false">
      <c r="B14" s="5" t="s">
        <v>18</v>
      </c>
      <c r="C14" s="11" t="n">
        <v>46173</v>
      </c>
      <c r="H14" s="12" t="s">
        <v>19</v>
      </c>
    </row>
    <row r="15" customFormat="false" ht="15.75" hidden="false" customHeight="true" outlineLevel="0" collapsed="false">
      <c r="B15" s="5" t="s">
        <v>20</v>
      </c>
      <c r="C15" s="13" t="n">
        <f aca="false">IF(AND(ISNUMBER(C14),ISNUMBER(C13)),C14-C13,"")</f>
        <v>60</v>
      </c>
    </row>
    <row r="16" customFormat="false" ht="15.75" hidden="false" customHeight="true" outlineLevel="0" collapsed="false">
      <c r="B16" s="5" t="s">
        <v>21</v>
      </c>
      <c r="C16" s="14"/>
      <c r="H16" s="12" t="s">
        <v>22</v>
      </c>
    </row>
    <row r="17" customFormat="false" ht="15.75" hidden="false" customHeight="true" outlineLevel="0" collapsed="false">
      <c r="B17" s="5" t="s">
        <v>23</v>
      </c>
      <c r="C17" s="15" t="n">
        <v>210</v>
      </c>
      <c r="H17" s="12" t="s">
        <v>24</v>
      </c>
    </row>
    <row r="18" customFormat="false" ht="15.75" hidden="false" customHeight="true" outlineLevel="0" collapsed="false">
      <c r="B18" s="5" t="s">
        <v>25</v>
      </c>
      <c r="C18" s="15" t="n">
        <v>268</v>
      </c>
      <c r="H18" s="12" t="s">
        <v>26</v>
      </c>
    </row>
    <row r="19" customFormat="false" ht="15.75" hidden="false" customHeight="true" outlineLevel="0" collapsed="false">
      <c r="B19" s="5" t="s">
        <v>27</v>
      </c>
      <c r="C19" s="16" t="n">
        <f aca="false">IFERROR(C18-C17,"")</f>
        <v>58</v>
      </c>
    </row>
    <row r="20" customFormat="false" ht="15.75" hidden="false" customHeight="true" outlineLevel="0" collapsed="false">
      <c r="B20" s="5" t="s">
        <v>28</v>
      </c>
      <c r="C20" s="17" t="s">
        <v>29</v>
      </c>
      <c r="H20" s="18" t="s">
        <v>30</v>
      </c>
    </row>
    <row r="21" customFormat="false" ht="6" hidden="false" customHeight="true" outlineLevel="0" collapsed="false"/>
    <row r="22" customFormat="false" ht="15.75" hidden="false" customHeight="true" outlineLevel="0" collapsed="false">
      <c r="A22" s="3" t="s">
        <v>31</v>
      </c>
      <c r="B22" s="3"/>
      <c r="C22" s="3"/>
      <c r="D22" s="3"/>
      <c r="E22" s="3"/>
      <c r="F22" s="3"/>
      <c r="G22" s="3"/>
      <c r="H22" s="3"/>
    </row>
    <row r="23" customFormat="false" ht="15.75" hidden="false" customHeight="true" outlineLevel="0" collapsed="false">
      <c r="B23" s="4" t="s">
        <v>32</v>
      </c>
      <c r="C23" s="4" t="s">
        <v>33</v>
      </c>
      <c r="H23" s="4" t="s">
        <v>34</v>
      </c>
    </row>
    <row r="24" customFormat="false" ht="24" hidden="false" customHeight="true" outlineLevel="0" collapsed="false">
      <c r="B24" s="5" t="s">
        <v>35</v>
      </c>
      <c r="C24" s="11" t="n">
        <v>46113</v>
      </c>
      <c r="H24" s="12" t="s">
        <v>36</v>
      </c>
    </row>
    <row r="25" customFormat="false" ht="15.75" hidden="false" customHeight="true" outlineLevel="0" collapsed="false">
      <c r="B25" s="5" t="s">
        <v>37</v>
      </c>
      <c r="C25" s="15" t="n">
        <v>95</v>
      </c>
      <c r="H25" s="12" t="s">
        <v>38</v>
      </c>
    </row>
    <row r="26" customFormat="false" ht="15.75" hidden="false" customHeight="true" outlineLevel="0" collapsed="false">
      <c r="B26" s="5" t="s">
        <v>39</v>
      </c>
      <c r="C26" s="11" t="n">
        <v>46173</v>
      </c>
      <c r="H26" s="12" t="s">
        <v>40</v>
      </c>
    </row>
    <row r="27" customFormat="false" ht="15.75" hidden="false" customHeight="true" outlineLevel="0" collapsed="false">
      <c r="B27" s="5" t="s">
        <v>41</v>
      </c>
      <c r="C27" s="15" t="n">
        <v>121</v>
      </c>
      <c r="H27" s="12" t="s">
        <v>42</v>
      </c>
    </row>
    <row r="28" customFormat="false" ht="15.75" hidden="false" customHeight="true" outlineLevel="0" collapsed="false">
      <c r="B28" s="5" t="s">
        <v>43</v>
      </c>
      <c r="C28" s="13" t="n">
        <f aca="false">IF(AND(ISNUMBER(C26),ISNUMBER(C24)),C26-C24,"")</f>
        <v>60</v>
      </c>
    </row>
    <row r="29" customFormat="false" ht="15.75" hidden="false" customHeight="true" outlineLevel="0" collapsed="false">
      <c r="B29" s="5" t="s">
        <v>44</v>
      </c>
      <c r="C29" s="16" t="n">
        <f aca="false">IFERROR(C27-C25,"")</f>
        <v>26</v>
      </c>
    </row>
    <row r="30" customFormat="false" ht="24" hidden="false" customHeight="true" outlineLevel="0" collapsed="false">
      <c r="B30" s="5" t="s">
        <v>45</v>
      </c>
      <c r="C30" s="16" t="n">
        <f aca="false">IFERROR(  IF(C20="TAK (pierwszy okres)", C29,  IF(C28=0, C29,  ROUND(C29/C28*C15,3)  )),"")</f>
        <v>26</v>
      </c>
      <c r="H30" s="12" t="s">
        <v>46</v>
      </c>
    </row>
    <row r="31" customFormat="false" ht="15" hidden="false" customHeight="true" outlineLevel="0" collapsed="false">
      <c r="B31" s="19" t="s">
        <v>47</v>
      </c>
      <c r="C31" s="19"/>
      <c r="D31" s="19"/>
      <c r="E31" s="19"/>
      <c r="F31" s="19"/>
      <c r="G31" s="19"/>
      <c r="H31" s="19"/>
    </row>
    <row r="32" customFormat="false" ht="24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</row>
    <row r="33" customFormat="false" ht="24" hidden="false" customHeight="true" outlineLevel="0" collapsed="false">
      <c r="B33" s="21" t="s">
        <v>48</v>
      </c>
      <c r="C33" s="21"/>
      <c r="D33" s="21"/>
      <c r="E33" s="21"/>
      <c r="F33" s="21"/>
      <c r="G33" s="21"/>
      <c r="H33" s="21"/>
    </row>
    <row r="34" customFormat="false" ht="18" hidden="false" customHeight="true" outlineLevel="0" collapsed="false">
      <c r="B34" s="22" t="s">
        <v>49</v>
      </c>
      <c r="C34" s="22"/>
      <c r="D34" s="22"/>
      <c r="E34" s="22"/>
      <c r="F34" s="22"/>
      <c r="G34" s="22"/>
      <c r="H34" s="22"/>
    </row>
    <row r="35" customFormat="false" ht="13.5" hidden="false" customHeight="true" outlineLevel="0" collapsed="false">
      <c r="C35" s="20"/>
      <c r="D35" s="20"/>
      <c r="E35" s="20"/>
      <c r="F35" s="20"/>
      <c r="G35" s="20"/>
      <c r="H35" s="20"/>
    </row>
    <row r="36" customFormat="false" ht="13.5" hidden="false" customHeight="true" outlineLevel="0" collapsed="false">
      <c r="A36" s="23" t="s">
        <v>50</v>
      </c>
      <c r="C36" s="20"/>
      <c r="D36" s="20"/>
      <c r="E36" s="20"/>
      <c r="F36" s="20"/>
      <c r="G36" s="20"/>
      <c r="H36" s="20"/>
    </row>
    <row r="37" customFormat="false" ht="13.5" hidden="false" customHeight="true" outlineLevel="0" collapsed="false">
      <c r="B37" s="5" t="s">
        <v>51</v>
      </c>
      <c r="C37" s="24" t="s">
        <v>52</v>
      </c>
      <c r="D37" s="24"/>
      <c r="E37" s="24"/>
      <c r="F37" s="24"/>
      <c r="G37" s="24"/>
      <c r="H37" s="24"/>
    </row>
    <row r="38" customFormat="false" ht="13.5" hidden="false" customHeight="true" outlineLevel="0" collapsed="false">
      <c r="B38" s="5" t="s">
        <v>53</v>
      </c>
      <c r="C38" s="24" t="s">
        <v>54</v>
      </c>
      <c r="D38" s="24"/>
      <c r="E38" s="24"/>
      <c r="F38" s="24"/>
      <c r="G38" s="24"/>
      <c r="H38" s="24"/>
    </row>
    <row r="39" customFormat="false" ht="24" hidden="false" customHeight="true" outlineLevel="0" collapsed="false">
      <c r="B39" s="5" t="s">
        <v>55</v>
      </c>
      <c r="C39" s="12" t="s">
        <v>56</v>
      </c>
    </row>
    <row r="40" customFormat="false" ht="24" hidden="false" customHeight="true" outlineLevel="0" collapsed="false">
      <c r="B40" s="5" t="s">
        <v>57</v>
      </c>
      <c r="C40" s="12" t="s">
        <v>58</v>
      </c>
    </row>
    <row r="41" customFormat="false" ht="84" hidden="false" customHeight="true" outlineLevel="0" collapsed="false">
      <c r="B41" s="5" t="s">
        <v>59</v>
      </c>
      <c r="C41" s="12" t="s">
        <v>60</v>
      </c>
    </row>
    <row r="42" customFormat="false" ht="48" hidden="false" customHeight="true" outlineLevel="0" collapsed="false">
      <c r="B42" s="5" t="s">
        <v>61</v>
      </c>
      <c r="C42" s="12" t="s">
        <v>62</v>
      </c>
    </row>
  </sheetData>
  <mergeCells count="13">
    <mergeCell ref="A1:H1"/>
    <mergeCell ref="A2:H2"/>
    <mergeCell ref="A4:H4"/>
    <mergeCell ref="A12:H12"/>
    <mergeCell ref="A22:H22"/>
    <mergeCell ref="B31:H31"/>
    <mergeCell ref="A32:H32"/>
    <mergeCell ref="B33:H33"/>
    <mergeCell ref="B34:H34"/>
    <mergeCell ref="C35:H35"/>
    <mergeCell ref="C36:H36"/>
    <mergeCell ref="C37:H37"/>
    <mergeCell ref="C38:H38"/>
  </mergeCells>
  <dataValidations count="1">
    <dataValidation allowBlank="false" error="Wybierz TAK (pierwszy okres) lub NIE z listy." errorStyle="stop" errorTitle="Nieprawidłowa wartość" operator="between" prompt="TAK – brak poprzedniego odczytu, korekta wyłączona.&#10;NIE – korekta proporcjonalna aktywna (normalny miesiąc)." promptTitle="Pierwszy miesiąc?" showDropDown="false" showErrorMessage="true" showInputMessage="true" sqref="C20" type="list">
      <formula1>"TAK (pierwszy okres),NIE"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F44" activeCellId="0" sqref="F4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20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" t="s">
        <v>63</v>
      </c>
      <c r="B1" s="1"/>
      <c r="C1" s="1"/>
      <c r="D1" s="1"/>
      <c r="E1" s="1"/>
      <c r="F1" s="1"/>
    </row>
    <row r="2" customFormat="false" ht="6" hidden="false" customHeight="true" outlineLevel="0" collapsed="false"/>
    <row r="3" customFormat="false" ht="15.75" hidden="false" customHeight="true" outlineLevel="0" collapsed="false">
      <c r="A3" s="3" t="s">
        <v>64</v>
      </c>
      <c r="B3" s="3"/>
      <c r="C3" s="3"/>
      <c r="D3" s="3"/>
      <c r="E3" s="3"/>
      <c r="F3" s="3"/>
    </row>
    <row r="4" customFormat="false" ht="15.75" hidden="false" customHeight="true" outlineLevel="0" collapsed="false">
      <c r="B4" s="4" t="s">
        <v>65</v>
      </c>
      <c r="C4" s="4" t="s">
        <v>66</v>
      </c>
      <c r="D4" s="4" t="s">
        <v>67</v>
      </c>
    </row>
    <row r="5" customFormat="false" ht="15.75" hidden="false" customHeight="true" outlineLevel="0" collapsed="false">
      <c r="B5" s="5" t="s">
        <v>68</v>
      </c>
      <c r="C5" s="16" t="n">
        <f aca="false">IFERROR('Dane wejściowe'!C19,"")</f>
        <v>58</v>
      </c>
      <c r="D5" s="24" t="s">
        <v>69</v>
      </c>
      <c r="E5" s="24"/>
      <c r="F5" s="24"/>
    </row>
    <row r="6" customFormat="false" ht="15.75" hidden="false" customHeight="true" outlineLevel="0" collapsed="false">
      <c r="B6" s="5" t="s">
        <v>70</v>
      </c>
      <c r="C6" s="16" t="n">
        <f aca="false">IFERROR('Dane wejściowe'!C30,"")</f>
        <v>26</v>
      </c>
      <c r="D6" s="24" t="s">
        <v>71</v>
      </c>
      <c r="E6" s="24"/>
      <c r="F6" s="24"/>
    </row>
    <row r="7" customFormat="false" ht="15.75" hidden="false" customHeight="true" outlineLevel="0" collapsed="false">
      <c r="B7" s="5" t="s">
        <v>72</v>
      </c>
      <c r="C7" s="16" t="n">
        <f aca="false">IFERROR(C5-C6,"")</f>
        <v>32</v>
      </c>
      <c r="D7" s="24" t="s">
        <v>73</v>
      </c>
      <c r="E7" s="24"/>
      <c r="F7" s="24"/>
    </row>
    <row r="8" customFormat="false" ht="15.75" hidden="false" customHeight="true" outlineLevel="0" collapsed="false">
      <c r="B8" s="5" t="s">
        <v>74</v>
      </c>
      <c r="C8" s="16" t="n">
        <f aca="false">IFERROR(C6+C7,"")</f>
        <v>58</v>
      </c>
      <c r="D8" s="24" t="s">
        <v>75</v>
      </c>
      <c r="E8" s="24"/>
      <c r="F8" s="24"/>
    </row>
    <row r="9" customFormat="false" ht="6" hidden="false" customHeight="true" outlineLevel="0" collapsed="false"/>
    <row r="10" customFormat="false" ht="15.75" hidden="false" customHeight="true" outlineLevel="0" collapsed="false">
      <c r="A10" s="3" t="s">
        <v>76</v>
      </c>
      <c r="B10" s="3"/>
      <c r="C10" s="3"/>
      <c r="D10" s="3"/>
      <c r="E10" s="3"/>
      <c r="F10" s="3"/>
    </row>
    <row r="11" customFormat="false" ht="15.75" hidden="false" customHeight="true" outlineLevel="0" collapsed="false">
      <c r="B11" s="4" t="s">
        <v>77</v>
      </c>
      <c r="C11" s="4" t="s">
        <v>78</v>
      </c>
      <c r="D11" s="4" t="s">
        <v>79</v>
      </c>
    </row>
    <row r="12" customFormat="false" ht="15.75" hidden="false" customHeight="true" outlineLevel="0" collapsed="false">
      <c r="B12" s="5" t="s">
        <v>80</v>
      </c>
      <c r="C12" s="7" t="n">
        <f aca="false">IFERROR('Dane wejściowe'!C6,"")</f>
        <v>3.05</v>
      </c>
      <c r="D12" s="24" t="s">
        <v>81</v>
      </c>
      <c r="E12" s="24"/>
      <c r="F12" s="24"/>
    </row>
    <row r="13" customFormat="false" ht="15.75" hidden="false" customHeight="true" outlineLevel="0" collapsed="false">
      <c r="B13" s="5" t="s">
        <v>82</v>
      </c>
      <c r="C13" s="7" t="n">
        <f aca="false">IFERROR('Dane wejściowe'!C8,"")</f>
        <v>5.4</v>
      </c>
      <c r="D13" s="24" t="s">
        <v>83</v>
      </c>
      <c r="E13" s="24"/>
      <c r="F13" s="24"/>
    </row>
    <row r="14" customFormat="false" ht="15.75" hidden="false" customHeight="true" outlineLevel="0" collapsed="false">
      <c r="B14" s="5" t="s">
        <v>84</v>
      </c>
      <c r="C14" s="25" t="n">
        <f aca="false">IFERROR('Dane wejściowe'!F6,"")</f>
        <v>8</v>
      </c>
      <c r="D14" s="24" t="s">
        <v>85</v>
      </c>
      <c r="E14" s="24"/>
      <c r="F14" s="24"/>
    </row>
    <row r="15" customFormat="false" ht="15.75" hidden="false" customHeight="true" outlineLevel="0" collapsed="false">
      <c r="B15" s="5" t="s">
        <v>86</v>
      </c>
      <c r="C15" s="7" t="n">
        <f aca="false">IFERROR(C12*(1+C14/100),"")</f>
        <v>3.294</v>
      </c>
      <c r="D15" s="24" t="s">
        <v>87</v>
      </c>
      <c r="E15" s="24"/>
      <c r="F15" s="24"/>
    </row>
    <row r="16" customFormat="false" ht="15.75" hidden="false" customHeight="true" outlineLevel="0" collapsed="false">
      <c r="B16" s="5" t="s">
        <v>88</v>
      </c>
      <c r="C16" s="7" t="n">
        <f aca="false">IFERROR(C13*(1+C14/100),"")</f>
        <v>5.832</v>
      </c>
      <c r="D16" s="24" t="s">
        <v>89</v>
      </c>
      <c r="E16" s="24"/>
      <c r="F16" s="24"/>
    </row>
    <row r="17" customFormat="false" ht="15.75" hidden="false" customHeight="true" outlineLevel="0" collapsed="false">
      <c r="B17" s="5" t="s">
        <v>90</v>
      </c>
      <c r="C17" s="9" t="n">
        <f aca="false">IFERROR('Dane wejściowe'!H7,"")</f>
        <v>17.064</v>
      </c>
      <c r="D17" s="24" t="s">
        <v>91</v>
      </c>
      <c r="E17" s="24"/>
      <c r="F17" s="24"/>
    </row>
    <row r="18" customFormat="false" ht="15.75" hidden="false" customHeight="true" outlineLevel="0" collapsed="false">
      <c r="B18" s="5" t="s">
        <v>92</v>
      </c>
      <c r="C18" s="9" t="n">
        <f aca="false">IFERROR('Dane wejściowe'!H9,"")</f>
        <v>17.496</v>
      </c>
      <c r="D18" s="24" t="s">
        <v>93</v>
      </c>
      <c r="E18" s="24"/>
      <c r="F18" s="24"/>
    </row>
    <row r="19" customFormat="false" ht="15.75" hidden="false" customHeight="true" outlineLevel="0" collapsed="false">
      <c r="B19" s="5" t="s">
        <v>94</v>
      </c>
      <c r="C19" s="9" t="n">
        <f aca="false">IFERROR(C17+C18,"")</f>
        <v>34.56</v>
      </c>
      <c r="D19" s="24" t="s">
        <v>95</v>
      </c>
      <c r="E19" s="24"/>
      <c r="F19" s="24"/>
    </row>
    <row r="20" customFormat="false" ht="15.75" hidden="false" customHeight="true" outlineLevel="0" collapsed="false">
      <c r="B20" s="5" t="s">
        <v>96</v>
      </c>
      <c r="C20" s="9" t="n">
        <f aca="false">IFERROR(C19/2,"")</f>
        <v>17.28</v>
      </c>
      <c r="D20" s="24" t="s">
        <v>97</v>
      </c>
      <c r="E20" s="24"/>
      <c r="F20" s="24"/>
    </row>
    <row r="21" customFormat="false" ht="6" hidden="false" customHeight="true" outlineLevel="0" collapsed="false"/>
    <row r="22" customFormat="false" ht="15.75" hidden="false" customHeight="true" outlineLevel="0" collapsed="false">
      <c r="A22" s="3" t="s">
        <v>98</v>
      </c>
      <c r="B22" s="3"/>
      <c r="C22" s="3"/>
      <c r="D22" s="3"/>
      <c r="E22" s="3"/>
      <c r="F22" s="3"/>
    </row>
    <row r="23" customFormat="false" ht="19.5" hidden="false" customHeight="true" outlineLevel="0" collapsed="false">
      <c r="B23" s="4" t="s">
        <v>99</v>
      </c>
      <c r="C23" s="4" t="s">
        <v>100</v>
      </c>
      <c r="D23" s="4" t="s">
        <v>101</v>
      </c>
    </row>
    <row r="24" customFormat="false" ht="15.75" hidden="false" customHeight="true" outlineLevel="0" collapsed="false">
      <c r="B24" s="5" t="s">
        <v>102</v>
      </c>
      <c r="C24" s="9" t="n">
        <f aca="false">IFERROR(C7*C15,"")</f>
        <v>105.408</v>
      </c>
      <c r="D24" s="9" t="n">
        <f aca="false">IFERROR(C6*C15,"")</f>
        <v>85.644</v>
      </c>
    </row>
    <row r="25" customFormat="false" ht="15.75" hidden="false" customHeight="true" outlineLevel="0" collapsed="false">
      <c r="B25" s="5" t="s">
        <v>103</v>
      </c>
      <c r="C25" s="9" t="n">
        <f aca="false">IFERROR(C7*C16,"")</f>
        <v>186.624</v>
      </c>
      <c r="D25" s="9" t="n">
        <f aca="false">IFERROR(C6*C16,"")</f>
        <v>151.632</v>
      </c>
    </row>
    <row r="26" customFormat="false" ht="15.75" hidden="false" customHeight="true" outlineLevel="0" collapsed="false">
      <c r="B26" s="5" t="s">
        <v>104</v>
      </c>
      <c r="C26" s="9" t="n">
        <f aca="false">IFERROR(C20,"")</f>
        <v>17.28</v>
      </c>
      <c r="D26" s="9" t="n">
        <f aca="false">IFERROR(C20,"")</f>
        <v>17.28</v>
      </c>
    </row>
    <row r="27" customFormat="false" ht="19.5" hidden="false" customHeight="true" outlineLevel="0" collapsed="false">
      <c r="B27" s="5" t="s">
        <v>105</v>
      </c>
      <c r="C27" s="26" t="n">
        <f aca="false">IFERROR(SUM(C24:C26),"")</f>
        <v>309.312</v>
      </c>
      <c r="D27" s="26" t="n">
        <f aca="false">IFERROR(SUM(D24:D26),"")</f>
        <v>254.556</v>
      </c>
    </row>
    <row r="28" customFormat="false" ht="15.75" hidden="false" customHeight="true" outlineLevel="0" collapsed="false">
      <c r="B28" s="5" t="s">
        <v>106</v>
      </c>
      <c r="C28" s="9" t="n">
        <f aca="false">IFERROR('Dane wejściowe'!H10,"")</f>
        <v>563.868</v>
      </c>
      <c r="D28" s="9" t="n">
        <f aca="false">IFERROR(C27+D27,"")</f>
        <v>563.868</v>
      </c>
      <c r="E28" s="27" t="str">
        <f aca="false">IFERROR(IF(ABS(C28-D28)&lt;0.02,"✅ OK","⚠️ Sprawdź!"),"?")</f>
        <v>✅ OK</v>
      </c>
    </row>
    <row r="29" customFormat="false" ht="6" hidden="false" customHeight="true" outlineLevel="0" collapsed="false"/>
    <row r="30" customFormat="false" ht="15.75" hidden="false" customHeight="true" outlineLevel="0" collapsed="false">
      <c r="A30" s="3" t="s">
        <v>107</v>
      </c>
      <c r="B30" s="3"/>
      <c r="C30" s="3"/>
      <c r="D30" s="3"/>
      <c r="E30" s="3"/>
      <c r="F30" s="3"/>
    </row>
    <row r="31" customFormat="false" ht="15.75" hidden="false" customHeight="true" outlineLevel="0" collapsed="false">
      <c r="B31" s="4" t="s">
        <v>65</v>
      </c>
      <c r="C31" s="4" t="s">
        <v>108</v>
      </c>
      <c r="D31" s="4" t="s">
        <v>109</v>
      </c>
      <c r="E31" s="4" t="s">
        <v>110</v>
      </c>
    </row>
    <row r="32" customFormat="false" ht="15.75" hidden="false" customHeight="true" outlineLevel="0" collapsed="false">
      <c r="B32" s="5" t="s">
        <v>111</v>
      </c>
      <c r="C32" s="16" t="n">
        <f aca="false">IFERROR(C7,"")</f>
        <v>32</v>
      </c>
      <c r="D32" s="16" t="n">
        <f aca="false">IFERROR(C6,"")</f>
        <v>26</v>
      </c>
      <c r="E32" s="16" t="n">
        <f aca="false">IFERROR(C5,"")</f>
        <v>58</v>
      </c>
    </row>
    <row r="33" customFormat="false" ht="15.75" hidden="false" customHeight="true" outlineLevel="0" collapsed="false">
      <c r="B33" s="5" t="s">
        <v>112</v>
      </c>
      <c r="C33" s="28" t="n">
        <f aca="false">IFERROR(C7/C5,"")</f>
        <v>0.551724137931035</v>
      </c>
      <c r="D33" s="28" t="n">
        <f aca="false">IFERROR(C6/C5,"")</f>
        <v>0.448275862068966</v>
      </c>
      <c r="E33" s="28" t="n">
        <f aca="false">IFERROR((C7+C6)/C5,"")</f>
        <v>1</v>
      </c>
    </row>
    <row r="34" customFormat="false" ht="6" hidden="false" customHeight="true" outlineLevel="0" collapsed="false"/>
    <row r="35" customFormat="false" ht="15.75" hidden="false" customHeight="true" outlineLevel="0" collapsed="false">
      <c r="A35" s="3" t="s">
        <v>113</v>
      </c>
      <c r="B35" s="3"/>
      <c r="C35" s="3"/>
      <c r="D35" s="3"/>
      <c r="E35" s="3"/>
      <c r="F35" s="3"/>
    </row>
    <row r="36" customFormat="false" ht="15.75" hidden="false" customHeight="true" outlineLevel="0" collapsed="false">
      <c r="B36" s="5" t="s">
        <v>114</v>
      </c>
      <c r="C36" s="29" t="str">
        <f aca="false">IFERROR(IF(ABS('Dane wejściowe'!C24-'Dane wejściowe'!C13)=0,"✅ Zsynchronizowany","⚠️ Różnica: "&amp;ABS('Dane wejściowe'!C24-'Dane wejściowe'!C13)&amp;" dni – stosowana korekta proporcjonalna"),"brak danych")</f>
        <v>✅ Zsynchronizowany</v>
      </c>
      <c r="D36" s="29"/>
      <c r="E36" s="29"/>
    </row>
    <row r="37" customFormat="false" ht="15.75" hidden="false" customHeight="true" outlineLevel="0" collapsed="false">
      <c r="B37" s="5" t="s">
        <v>115</v>
      </c>
      <c r="C37" s="29" t="str">
        <f aca="false">IFERROR(IF(ABS('Dane wejściowe'!C26-'Dane wejściowe'!C14)=0,"✅ Zsynchronizowany","⚠️ Różnica: "&amp;ABS('Dane wejściowe'!C26-'Dane wejściowe'!C14)&amp;" dni – stosowana korekta proporcjonalna"),"brak danych")</f>
        <v>✅ Zsynchronizowany</v>
      </c>
      <c r="D37" s="29"/>
      <c r="E37" s="29"/>
    </row>
  </sheetData>
  <mergeCells count="21">
    <mergeCell ref="A1:F1"/>
    <mergeCell ref="A3:F3"/>
    <mergeCell ref="D5:F5"/>
    <mergeCell ref="D6:F6"/>
    <mergeCell ref="D7:F7"/>
    <mergeCell ref="D8:F8"/>
    <mergeCell ref="A10:F10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A22:F22"/>
    <mergeCell ref="A30:F30"/>
    <mergeCell ref="A35:F35"/>
    <mergeCell ref="C36:E36"/>
    <mergeCell ref="C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N7" activeCellId="0" sqref="N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11" min="9" style="0" width="13"/>
  </cols>
  <sheetData>
    <row r="1" customFormat="false" ht="17.25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8" hidden="false" customHeight="true" outlineLevel="0" collapsed="false">
      <c r="A2" s="2" t="s">
        <v>117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4" t="s">
        <v>118</v>
      </c>
      <c r="B3" s="4" t="s">
        <v>119</v>
      </c>
      <c r="C3" s="4" t="s">
        <v>120</v>
      </c>
      <c r="D3" s="4" t="s">
        <v>121</v>
      </c>
      <c r="E3" s="4" t="s">
        <v>122</v>
      </c>
      <c r="F3" s="4" t="s">
        <v>123</v>
      </c>
      <c r="G3" s="4" t="s">
        <v>124</v>
      </c>
      <c r="H3" s="4" t="s">
        <v>125</v>
      </c>
      <c r="I3" s="4" t="s">
        <v>126</v>
      </c>
      <c r="J3" s="4" t="s">
        <v>127</v>
      </c>
      <c r="K3" s="4" t="s">
        <v>128</v>
      </c>
    </row>
    <row r="4" customFormat="false" ht="13.5" hidden="false" customHeight="true" outlineLevel="0" collapsed="false">
      <c r="A4" s="30" t="s">
        <v>129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customFormat="false" ht="15.75" hidden="false" customHeight="true" outlineLevel="0" collapsed="false">
      <c r="A5" s="31" t="n">
        <f aca="false">IFERROR('Dane wejściowe'!C14,"")</f>
        <v>46173</v>
      </c>
      <c r="B5" s="32" t="n">
        <f aca="false">IFERROR(Obliczenia!C5,"")</f>
        <v>58</v>
      </c>
      <c r="C5" s="32" t="n">
        <f aca="false">IFERROR(Obliczenia!C6,"")</f>
        <v>26</v>
      </c>
      <c r="D5" s="32" t="n">
        <f aca="false">IFERROR(Obliczenia!C7,"")</f>
        <v>32</v>
      </c>
      <c r="E5" s="10" t="n">
        <f aca="false">IFERROR('Dane wejściowe'!H10,"")</f>
        <v>563.868</v>
      </c>
      <c r="F5" s="10" t="n">
        <f aca="false">IFERROR(Obliczenia!C27,"")</f>
        <v>309.312</v>
      </c>
      <c r="G5" s="10" t="n">
        <f aca="false">IFERROR(Obliczenia!D27,"")</f>
        <v>254.556</v>
      </c>
      <c r="H5" s="10" t="n">
        <f aca="false">IFERROR(Obliczenia!C27+Obliczenia!D27,"")</f>
        <v>563.868</v>
      </c>
      <c r="I5" s="33" t="n">
        <f aca="false">IFERROR(Obliczenia!C15,"")</f>
        <v>3.294</v>
      </c>
      <c r="J5" s="33" t="n">
        <f aca="false">IFERROR(Obliczenia!C16,"")</f>
        <v>5.832</v>
      </c>
      <c r="K5" s="10" t="n">
        <f aca="false">IFERROR(Obliczenia!C19,"")</f>
        <v>34.56</v>
      </c>
    </row>
    <row r="6" customFormat="false" ht="13.5" hidden="false" customHeight="true" outlineLevel="0" collapsed="false">
      <c r="A6" s="22" t="s">
        <v>130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customFormat="false" ht="15" hidden="false" customHeight="true" outlineLevel="0" collapsed="false">
      <c r="A7" s="34" t="n">
        <v>46112</v>
      </c>
      <c r="B7" s="35" t="n">
        <v>52</v>
      </c>
      <c r="C7" s="35" t="n">
        <v>22</v>
      </c>
      <c r="D7" s="35" t="n">
        <v>30</v>
      </c>
      <c r="E7" s="36" t="n">
        <v>509.11</v>
      </c>
      <c r="F7" s="36" t="n">
        <v>291.06</v>
      </c>
      <c r="G7" s="36" t="n">
        <v>218.05</v>
      </c>
      <c r="H7" s="36" t="n">
        <v>509.11</v>
      </c>
      <c r="I7" s="37" t="n">
        <v>3.294</v>
      </c>
      <c r="J7" s="37" t="n">
        <v>5.832</v>
      </c>
      <c r="K7" s="36" t="n">
        <v>34.56</v>
      </c>
    </row>
    <row r="8" customFormat="false" ht="15" hidden="false" customHeight="true" outlineLevel="0" collapsed="false">
      <c r="A8" s="38"/>
      <c r="B8" s="39"/>
      <c r="C8" s="39"/>
      <c r="D8" s="39"/>
      <c r="E8" s="40"/>
      <c r="F8" s="40"/>
      <c r="G8" s="40"/>
      <c r="H8" s="40"/>
      <c r="I8" s="41"/>
      <c r="J8" s="41"/>
      <c r="K8" s="40"/>
    </row>
    <row r="9" customFormat="false" ht="15" hidden="false" customHeight="true" outlineLevel="0" collapsed="false">
      <c r="A9" s="34"/>
      <c r="B9" s="35"/>
      <c r="C9" s="35"/>
      <c r="D9" s="35"/>
      <c r="E9" s="36"/>
      <c r="F9" s="36"/>
      <c r="G9" s="36"/>
      <c r="H9" s="36"/>
      <c r="I9" s="37"/>
      <c r="J9" s="37"/>
      <c r="K9" s="36"/>
    </row>
    <row r="10" customFormat="false" ht="15" hidden="false" customHeight="true" outlineLevel="0" collapsed="false">
      <c r="A10" s="38"/>
      <c r="B10" s="39"/>
      <c r="C10" s="39"/>
      <c r="D10" s="39"/>
      <c r="E10" s="40"/>
      <c r="F10" s="40"/>
      <c r="G10" s="40"/>
      <c r="H10" s="40"/>
      <c r="I10" s="41"/>
      <c r="J10" s="41"/>
      <c r="K10" s="40"/>
    </row>
    <row r="11" customFormat="false" ht="15" hidden="false" customHeight="true" outlineLevel="0" collapsed="false">
      <c r="A11" s="34"/>
      <c r="B11" s="35"/>
      <c r="C11" s="35"/>
      <c r="D11" s="35"/>
      <c r="E11" s="36"/>
      <c r="F11" s="36"/>
      <c r="G11" s="36"/>
      <c r="H11" s="36"/>
      <c r="I11" s="37"/>
      <c r="J11" s="37"/>
      <c r="K11" s="36"/>
    </row>
    <row r="12" customFormat="false" ht="15" hidden="false" customHeight="true" outlineLevel="0" collapsed="false">
      <c r="A12" s="38"/>
      <c r="B12" s="39"/>
      <c r="C12" s="39"/>
      <c r="D12" s="39"/>
      <c r="E12" s="40"/>
      <c r="F12" s="40"/>
      <c r="G12" s="40"/>
      <c r="H12" s="40"/>
      <c r="I12" s="41"/>
      <c r="J12" s="41"/>
      <c r="K12" s="40"/>
    </row>
    <row r="13" customFormat="false" ht="15" hidden="false" customHeight="true" outlineLevel="0" collapsed="false">
      <c r="A13" s="34"/>
      <c r="B13" s="35"/>
      <c r="C13" s="35"/>
      <c r="D13" s="35"/>
      <c r="E13" s="36"/>
      <c r="F13" s="36"/>
      <c r="G13" s="36"/>
      <c r="H13" s="36"/>
      <c r="I13" s="37"/>
      <c r="J13" s="37"/>
      <c r="K13" s="36"/>
    </row>
    <row r="14" customFormat="false" ht="15" hidden="false" customHeight="true" outlineLevel="0" collapsed="false">
      <c r="A14" s="38"/>
      <c r="B14" s="39"/>
      <c r="C14" s="39"/>
      <c r="D14" s="39"/>
      <c r="E14" s="40"/>
      <c r="F14" s="40"/>
      <c r="G14" s="40"/>
      <c r="H14" s="40"/>
      <c r="I14" s="41"/>
      <c r="J14" s="41"/>
      <c r="K14" s="40"/>
    </row>
    <row r="15" customFormat="false" ht="15" hidden="false" customHeight="true" outlineLevel="0" collapsed="false">
      <c r="A15" s="34"/>
      <c r="B15" s="35"/>
      <c r="C15" s="35"/>
      <c r="D15" s="35"/>
      <c r="E15" s="36"/>
      <c r="F15" s="36"/>
      <c r="G15" s="36"/>
      <c r="H15" s="36"/>
      <c r="I15" s="37"/>
      <c r="J15" s="37"/>
      <c r="K15" s="36"/>
    </row>
    <row r="16" customFormat="false" ht="15" hidden="false" customHeight="true" outlineLevel="0" collapsed="false">
      <c r="A16" s="38"/>
      <c r="B16" s="39"/>
      <c r="C16" s="39"/>
      <c r="D16" s="39"/>
      <c r="E16" s="40"/>
      <c r="F16" s="40"/>
      <c r="G16" s="40"/>
      <c r="H16" s="40"/>
      <c r="I16" s="41"/>
      <c r="J16" s="41"/>
      <c r="K16" s="40"/>
    </row>
    <row r="17" customFormat="false" ht="15" hidden="false" customHeight="true" outlineLevel="0" collapsed="false">
      <c r="A17" s="34"/>
      <c r="B17" s="35"/>
      <c r="C17" s="35"/>
      <c r="D17" s="35"/>
      <c r="E17" s="36"/>
      <c r="F17" s="36"/>
      <c r="G17" s="36"/>
      <c r="H17" s="36"/>
      <c r="I17" s="37"/>
      <c r="J17" s="37"/>
      <c r="K17" s="36"/>
    </row>
    <row r="18" customFormat="false" ht="15" hidden="false" customHeight="true" outlineLevel="0" collapsed="false">
      <c r="A18" s="38"/>
      <c r="B18" s="39"/>
      <c r="C18" s="39"/>
      <c r="D18" s="39"/>
      <c r="E18" s="40"/>
      <c r="F18" s="40"/>
      <c r="G18" s="40"/>
      <c r="H18" s="40"/>
      <c r="I18" s="41"/>
      <c r="J18" s="41"/>
      <c r="K18" s="40"/>
    </row>
    <row r="19" customFormat="false" ht="15" hidden="false" customHeight="true" outlineLevel="0" collapsed="false">
      <c r="A19" s="34"/>
      <c r="B19" s="35"/>
      <c r="C19" s="35"/>
      <c r="D19" s="35"/>
      <c r="E19" s="36"/>
      <c r="F19" s="36"/>
      <c r="G19" s="36"/>
      <c r="H19" s="36"/>
      <c r="I19" s="37"/>
      <c r="J19" s="37"/>
      <c r="K19" s="36"/>
    </row>
    <row r="20" customFormat="false" ht="15" hidden="false" customHeight="true" outlineLevel="0" collapsed="false">
      <c r="A20" s="38"/>
      <c r="B20" s="39"/>
      <c r="C20" s="39"/>
      <c r="D20" s="39"/>
      <c r="E20" s="40"/>
      <c r="F20" s="40"/>
      <c r="G20" s="40"/>
      <c r="H20" s="40"/>
      <c r="I20" s="41"/>
      <c r="J20" s="41"/>
      <c r="K20" s="40"/>
    </row>
    <row r="21" customFormat="false" ht="15" hidden="false" customHeight="true" outlineLevel="0" collapsed="false">
      <c r="A21" s="34"/>
      <c r="B21" s="35"/>
      <c r="C21" s="35"/>
      <c r="D21" s="35"/>
      <c r="E21" s="36"/>
      <c r="F21" s="36"/>
      <c r="G21" s="36"/>
      <c r="H21" s="36"/>
      <c r="I21" s="37"/>
      <c r="J21" s="37"/>
      <c r="K21" s="36"/>
    </row>
    <row r="22" customFormat="false" ht="15" hidden="false" customHeight="true" outlineLevel="0" collapsed="false">
      <c r="A22" s="38"/>
      <c r="B22" s="39"/>
      <c r="C22" s="39"/>
      <c r="D22" s="39"/>
      <c r="E22" s="40"/>
      <c r="F22" s="40"/>
      <c r="G22" s="40"/>
      <c r="H22" s="40"/>
      <c r="I22" s="41"/>
      <c r="J22" s="41"/>
      <c r="K22" s="40"/>
    </row>
    <row r="23" customFormat="false" ht="15" hidden="false" customHeight="true" outlineLevel="0" collapsed="false">
      <c r="A23" s="34"/>
      <c r="B23" s="35"/>
      <c r="C23" s="35"/>
      <c r="D23" s="35"/>
      <c r="E23" s="36"/>
      <c r="F23" s="36"/>
      <c r="G23" s="36"/>
      <c r="H23" s="36"/>
      <c r="I23" s="37"/>
      <c r="J23" s="37"/>
      <c r="K23" s="36"/>
    </row>
    <row r="24" customFormat="false" ht="15" hidden="false" customHeight="true" outlineLevel="0" collapsed="false">
      <c r="A24" s="38"/>
      <c r="B24" s="39"/>
      <c r="C24" s="39"/>
      <c r="D24" s="39"/>
      <c r="E24" s="40"/>
      <c r="F24" s="40"/>
      <c r="G24" s="40"/>
      <c r="H24" s="40"/>
      <c r="I24" s="41"/>
      <c r="J24" s="41"/>
      <c r="K24" s="40"/>
    </row>
    <row r="25" customFormat="false" ht="15" hidden="false" customHeight="true" outlineLevel="0" collapsed="false">
      <c r="A25" s="34"/>
      <c r="B25" s="35"/>
      <c r="C25" s="35"/>
      <c r="D25" s="35"/>
      <c r="E25" s="36"/>
      <c r="F25" s="36"/>
      <c r="G25" s="36"/>
      <c r="H25" s="36"/>
      <c r="I25" s="37"/>
      <c r="J25" s="37"/>
      <c r="K25" s="36"/>
    </row>
    <row r="26" customFormat="false" ht="15" hidden="false" customHeight="true" outlineLevel="0" collapsed="false">
      <c r="A26" s="38"/>
      <c r="B26" s="39"/>
      <c r="C26" s="39"/>
      <c r="D26" s="39"/>
      <c r="E26" s="40"/>
      <c r="F26" s="40"/>
      <c r="G26" s="40"/>
      <c r="H26" s="40"/>
      <c r="I26" s="41"/>
      <c r="J26" s="41"/>
      <c r="K26" s="40"/>
    </row>
    <row r="27" customFormat="false" ht="15" hidden="false" customHeight="true" outlineLevel="0" collapsed="false">
      <c r="A27" s="34"/>
      <c r="B27" s="35"/>
      <c r="C27" s="35"/>
      <c r="D27" s="35"/>
      <c r="E27" s="36"/>
      <c r="F27" s="36"/>
      <c r="G27" s="36"/>
      <c r="H27" s="36"/>
      <c r="I27" s="37"/>
      <c r="J27" s="37"/>
      <c r="K27" s="36"/>
    </row>
    <row r="28" customFormat="false" ht="15" hidden="false" customHeight="true" outlineLevel="0" collapsed="false">
      <c r="A28" s="38"/>
      <c r="B28" s="39"/>
      <c r="C28" s="39"/>
      <c r="D28" s="39"/>
      <c r="E28" s="40"/>
      <c r="F28" s="40"/>
      <c r="G28" s="40"/>
      <c r="H28" s="40"/>
      <c r="I28" s="41"/>
      <c r="J28" s="41"/>
      <c r="K28" s="40"/>
    </row>
    <row r="29" customFormat="false" ht="15" hidden="false" customHeight="true" outlineLevel="0" collapsed="false">
      <c r="A29" s="34"/>
      <c r="B29" s="35"/>
      <c r="C29" s="35"/>
      <c r="D29" s="35"/>
      <c r="E29" s="36"/>
      <c r="F29" s="36"/>
      <c r="G29" s="36"/>
      <c r="H29" s="36"/>
      <c r="I29" s="37"/>
      <c r="J29" s="37"/>
      <c r="K29" s="36"/>
    </row>
    <row r="30" customFormat="false" ht="15" hidden="false" customHeight="true" outlineLevel="0" collapsed="false">
      <c r="A30" s="38"/>
      <c r="B30" s="39"/>
      <c r="C30" s="39"/>
      <c r="D30" s="39"/>
      <c r="E30" s="40"/>
      <c r="F30" s="40"/>
      <c r="G30" s="40"/>
      <c r="H30" s="40"/>
      <c r="I30" s="41"/>
      <c r="J30" s="41"/>
      <c r="K30" s="40"/>
    </row>
    <row r="31" customFormat="false" ht="15" hidden="false" customHeight="true" outlineLevel="0" collapsed="false">
      <c r="A31" s="34"/>
      <c r="B31" s="35"/>
      <c r="C31" s="35"/>
      <c r="D31" s="35"/>
      <c r="E31" s="36"/>
      <c r="F31" s="36"/>
      <c r="G31" s="36"/>
      <c r="H31" s="36"/>
      <c r="I31" s="37"/>
      <c r="J31" s="37"/>
      <c r="K31" s="36"/>
    </row>
    <row r="32" customFormat="false" ht="15" hidden="false" customHeight="true" outlineLevel="0" collapsed="false">
      <c r="A32" s="38"/>
      <c r="B32" s="39"/>
      <c r="C32" s="39"/>
      <c r="D32" s="39"/>
      <c r="E32" s="40"/>
      <c r="F32" s="40"/>
      <c r="G32" s="40"/>
      <c r="H32" s="40"/>
      <c r="I32" s="41"/>
      <c r="J32" s="41"/>
      <c r="K32" s="40"/>
    </row>
    <row r="33" customFormat="false" ht="15" hidden="false" customHeight="true" outlineLevel="0" collapsed="false">
      <c r="A33" s="34"/>
      <c r="B33" s="35"/>
      <c r="C33" s="35"/>
      <c r="D33" s="35"/>
      <c r="E33" s="36"/>
      <c r="F33" s="36"/>
      <c r="G33" s="36"/>
      <c r="H33" s="36"/>
      <c r="I33" s="37"/>
      <c r="J33" s="37"/>
      <c r="K33" s="36"/>
    </row>
    <row r="34" customFormat="false" ht="15" hidden="false" customHeight="true" outlineLevel="0" collapsed="false">
      <c r="A34" s="38"/>
      <c r="B34" s="39"/>
      <c r="C34" s="39"/>
      <c r="D34" s="39"/>
      <c r="E34" s="40"/>
      <c r="F34" s="40"/>
      <c r="G34" s="40"/>
      <c r="H34" s="40"/>
      <c r="I34" s="41"/>
      <c r="J34" s="41"/>
      <c r="K34" s="40"/>
    </row>
    <row r="35" customFormat="false" ht="15" hidden="false" customHeight="true" outlineLevel="0" collapsed="false">
      <c r="A35" s="34"/>
      <c r="B35" s="35"/>
      <c r="C35" s="35"/>
      <c r="D35" s="35"/>
      <c r="E35" s="36"/>
      <c r="F35" s="36"/>
      <c r="G35" s="36"/>
      <c r="H35" s="36"/>
      <c r="I35" s="37"/>
      <c r="J35" s="37"/>
      <c r="K35" s="36"/>
    </row>
    <row r="36" customFormat="false" ht="15" hidden="false" customHeight="true" outlineLevel="0" collapsed="false">
      <c r="A36" s="38"/>
      <c r="B36" s="39"/>
      <c r="C36" s="39"/>
      <c r="D36" s="39"/>
      <c r="E36" s="40"/>
      <c r="F36" s="40"/>
      <c r="G36" s="40"/>
      <c r="H36" s="40"/>
      <c r="I36" s="41"/>
      <c r="J36" s="41"/>
      <c r="K36" s="40"/>
    </row>
    <row r="37" customFormat="false" ht="15" hidden="false" customHeight="true" outlineLevel="0" collapsed="false">
      <c r="A37" s="34"/>
      <c r="B37" s="35"/>
      <c r="C37" s="35"/>
      <c r="D37" s="35"/>
      <c r="E37" s="36"/>
      <c r="F37" s="36"/>
      <c r="G37" s="36"/>
      <c r="H37" s="36"/>
      <c r="I37" s="37"/>
      <c r="J37" s="37"/>
      <c r="K37" s="36"/>
    </row>
    <row r="38" customFormat="false" ht="15" hidden="false" customHeight="true" outlineLevel="0" collapsed="false">
      <c r="A38" s="38"/>
      <c r="B38" s="39"/>
      <c r="C38" s="39"/>
      <c r="D38" s="39"/>
      <c r="E38" s="40"/>
      <c r="F38" s="40"/>
      <c r="G38" s="40"/>
      <c r="H38" s="40"/>
      <c r="I38" s="41"/>
      <c r="J38" s="41"/>
      <c r="K38" s="40"/>
    </row>
    <row r="39" customFormat="false" ht="15" hidden="false" customHeight="true" outlineLevel="0" collapsed="false">
      <c r="A39" s="34"/>
      <c r="B39" s="35"/>
      <c r="C39" s="35"/>
      <c r="D39" s="35"/>
      <c r="E39" s="36"/>
      <c r="F39" s="36"/>
      <c r="G39" s="36"/>
      <c r="H39" s="36"/>
      <c r="I39" s="37"/>
      <c r="J39" s="37"/>
      <c r="K39" s="36"/>
    </row>
    <row r="40" customFormat="false" ht="15" hidden="false" customHeight="true" outlineLevel="0" collapsed="false">
      <c r="A40" s="38"/>
      <c r="B40" s="39"/>
      <c r="C40" s="39"/>
      <c r="D40" s="39"/>
      <c r="E40" s="40"/>
      <c r="F40" s="40"/>
      <c r="G40" s="40"/>
      <c r="H40" s="40"/>
      <c r="I40" s="41"/>
      <c r="J40" s="41"/>
      <c r="K40" s="40"/>
    </row>
    <row r="41" customFormat="false" ht="15" hidden="false" customHeight="true" outlineLevel="0" collapsed="false">
      <c r="A41" s="34"/>
      <c r="B41" s="35"/>
      <c r="C41" s="35"/>
      <c r="D41" s="35"/>
      <c r="E41" s="36"/>
      <c r="F41" s="36"/>
      <c r="G41" s="36"/>
      <c r="H41" s="36"/>
      <c r="I41" s="37"/>
      <c r="J41" s="37"/>
      <c r="K41" s="36"/>
    </row>
    <row r="42" customFormat="false" ht="15" hidden="false" customHeight="true" outlineLevel="0" collapsed="false">
      <c r="A42" s="38"/>
      <c r="B42" s="39"/>
      <c r="C42" s="39"/>
      <c r="D42" s="39"/>
      <c r="E42" s="40"/>
      <c r="F42" s="40"/>
      <c r="G42" s="40"/>
      <c r="H42" s="40"/>
      <c r="I42" s="41"/>
      <c r="J42" s="41"/>
      <c r="K42" s="40"/>
    </row>
    <row r="43" customFormat="false" ht="15" hidden="false" customHeight="true" outlineLevel="0" collapsed="false">
      <c r="A43" s="34"/>
      <c r="B43" s="35"/>
      <c r="C43" s="35"/>
      <c r="D43" s="35"/>
      <c r="E43" s="36"/>
      <c r="F43" s="36"/>
      <c r="G43" s="36"/>
      <c r="H43" s="36"/>
      <c r="I43" s="37"/>
      <c r="J43" s="37"/>
      <c r="K43" s="36"/>
    </row>
    <row r="44" customFormat="false" ht="15" hidden="false" customHeight="true" outlineLevel="0" collapsed="false">
      <c r="A44" s="38"/>
      <c r="B44" s="39"/>
      <c r="C44" s="39"/>
      <c r="D44" s="39"/>
      <c r="E44" s="40"/>
      <c r="F44" s="40"/>
      <c r="G44" s="40"/>
      <c r="H44" s="40"/>
      <c r="I44" s="41"/>
      <c r="J44" s="41"/>
      <c r="K44" s="40"/>
    </row>
    <row r="45" customFormat="false" ht="15" hidden="false" customHeight="true" outlineLevel="0" collapsed="false">
      <c r="A45" s="34"/>
      <c r="B45" s="35"/>
      <c r="C45" s="35"/>
      <c r="D45" s="35"/>
      <c r="E45" s="36"/>
      <c r="F45" s="36"/>
      <c r="G45" s="36"/>
      <c r="H45" s="36"/>
      <c r="I45" s="37"/>
      <c r="J45" s="37"/>
      <c r="K45" s="36"/>
    </row>
    <row r="46" customFormat="false" ht="15" hidden="false" customHeight="true" outlineLevel="0" collapsed="false">
      <c r="A46" s="38"/>
      <c r="B46" s="39"/>
      <c r="C46" s="39"/>
      <c r="D46" s="39"/>
      <c r="E46" s="40"/>
      <c r="F46" s="40"/>
      <c r="G46" s="40"/>
      <c r="H46" s="40"/>
      <c r="I46" s="41"/>
      <c r="J46" s="41"/>
      <c r="K46" s="40"/>
    </row>
    <row r="47" customFormat="false" ht="15" hidden="false" customHeight="true" outlineLevel="0" collapsed="false">
      <c r="A47" s="34"/>
      <c r="B47" s="35"/>
      <c r="C47" s="35"/>
      <c r="D47" s="35"/>
      <c r="E47" s="36"/>
      <c r="F47" s="36"/>
      <c r="G47" s="36"/>
      <c r="H47" s="36"/>
      <c r="I47" s="37"/>
      <c r="J47" s="37"/>
      <c r="K47" s="36"/>
    </row>
    <row r="48" customFormat="false" ht="15" hidden="false" customHeight="true" outlineLevel="0" collapsed="false">
      <c r="A48" s="38"/>
      <c r="B48" s="39"/>
      <c r="C48" s="39"/>
      <c r="D48" s="39"/>
      <c r="E48" s="40"/>
      <c r="F48" s="40"/>
      <c r="G48" s="40"/>
      <c r="H48" s="40"/>
      <c r="I48" s="41"/>
      <c r="J48" s="41"/>
      <c r="K48" s="40"/>
    </row>
    <row r="49" customFormat="false" ht="15" hidden="false" customHeight="true" outlineLevel="0" collapsed="false">
      <c r="A49" s="34"/>
      <c r="B49" s="35"/>
      <c r="C49" s="35"/>
      <c r="D49" s="35"/>
      <c r="E49" s="36"/>
      <c r="F49" s="36"/>
      <c r="G49" s="36"/>
      <c r="H49" s="36"/>
      <c r="I49" s="37"/>
      <c r="J49" s="37"/>
      <c r="K49" s="36"/>
    </row>
    <row r="50" customFormat="false" ht="15" hidden="false" customHeight="true" outlineLevel="0" collapsed="false">
      <c r="A50" s="38"/>
      <c r="B50" s="39"/>
      <c r="C50" s="39"/>
      <c r="D50" s="39"/>
      <c r="E50" s="40"/>
      <c r="F50" s="40"/>
      <c r="G50" s="40"/>
      <c r="H50" s="40"/>
      <c r="I50" s="41"/>
      <c r="J50" s="41"/>
      <c r="K50" s="40"/>
    </row>
    <row r="51" customFormat="false" ht="15" hidden="false" customHeight="true" outlineLevel="0" collapsed="false">
      <c r="A51" s="34"/>
      <c r="B51" s="35"/>
      <c r="C51" s="35"/>
      <c r="D51" s="35"/>
      <c r="E51" s="36"/>
      <c r="F51" s="36"/>
      <c r="G51" s="36"/>
      <c r="H51" s="36"/>
      <c r="I51" s="37"/>
      <c r="J51" s="37"/>
      <c r="K51" s="36"/>
    </row>
    <row r="52" customFormat="false" ht="15" hidden="false" customHeight="true" outlineLevel="0" collapsed="false">
      <c r="A52" s="38"/>
      <c r="B52" s="39"/>
      <c r="C52" s="39"/>
      <c r="D52" s="39"/>
      <c r="E52" s="40"/>
      <c r="F52" s="40"/>
      <c r="G52" s="40"/>
      <c r="H52" s="40"/>
      <c r="I52" s="41"/>
      <c r="J52" s="41"/>
      <c r="K52" s="40"/>
    </row>
    <row r="53" customFormat="false" ht="15" hidden="false" customHeight="true" outlineLevel="0" collapsed="false">
      <c r="A53" s="34"/>
      <c r="B53" s="35"/>
      <c r="C53" s="35"/>
      <c r="D53" s="35"/>
      <c r="E53" s="36"/>
      <c r="F53" s="36"/>
      <c r="G53" s="36"/>
      <c r="H53" s="36"/>
      <c r="I53" s="37"/>
      <c r="J53" s="37"/>
      <c r="K53" s="36"/>
    </row>
    <row r="54" customFormat="false" ht="15" hidden="false" customHeight="true" outlineLevel="0" collapsed="false">
      <c r="A54" s="38"/>
      <c r="B54" s="39"/>
      <c r="C54" s="39"/>
      <c r="D54" s="39"/>
      <c r="E54" s="40"/>
      <c r="F54" s="40"/>
      <c r="G54" s="40"/>
      <c r="H54" s="40"/>
      <c r="I54" s="41"/>
      <c r="J54" s="41"/>
      <c r="K54" s="40"/>
    </row>
  </sheetData>
  <mergeCells count="4">
    <mergeCell ref="A1:K1"/>
    <mergeCell ref="A2:K2"/>
    <mergeCell ref="A4:K4"/>
    <mergeCell ref="A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B9" activeCellId="0" sqref="B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8"/>
  </cols>
  <sheetData>
    <row r="1" customFormat="false" ht="24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132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12.75" hidden="false" customHeight="true" outlineLevel="0" collapsed="false">
      <c r="B4" s="42" t="s">
        <v>133</v>
      </c>
      <c r="C4" s="42"/>
      <c r="D4" s="43" t="s">
        <v>134</v>
      </c>
      <c r="E4" s="43"/>
      <c r="F4" s="44" t="s">
        <v>135</v>
      </c>
      <c r="G4" s="44"/>
      <c r="H4" s="45" t="s">
        <v>136</v>
      </c>
      <c r="I4" s="45"/>
    </row>
    <row r="5" customFormat="false" ht="30" hidden="false" customHeight="true" outlineLevel="0" collapsed="false">
      <c r="B5" s="46" t="n">
        <f aca="false">IFERROR('Dane wejściowe'!H10,"")</f>
        <v>563.868</v>
      </c>
      <c r="C5" s="46"/>
      <c r="D5" s="47" t="n">
        <f aca="false">IFERROR(Obliczenia!C27,"")</f>
        <v>309.312</v>
      </c>
      <c r="E5" s="47"/>
      <c r="F5" s="48" t="n">
        <f aca="false">IFERROR(Obliczenia!D27,"")</f>
        <v>254.556</v>
      </c>
      <c r="G5" s="48"/>
      <c r="H5" s="49" t="n">
        <f aca="false">IFERROR(Obliczenia!C5,"")</f>
        <v>58</v>
      </c>
      <c r="I5" s="49"/>
    </row>
    <row r="6" customFormat="false" ht="12.75" hidden="false" customHeight="true" outlineLevel="0" collapsed="false">
      <c r="B6" s="50" t="s">
        <v>137</v>
      </c>
      <c r="C6" s="50"/>
      <c r="D6" s="51" t="s">
        <v>138</v>
      </c>
      <c r="E6" s="51"/>
      <c r="F6" s="52" t="s">
        <v>138</v>
      </c>
      <c r="G6" s="52"/>
      <c r="H6" s="53" t="s">
        <v>137</v>
      </c>
      <c r="I6" s="53"/>
    </row>
    <row r="7" customFormat="false" ht="7.5" hidden="false" customHeight="true" outlineLevel="0" collapsed="false"/>
    <row r="8" customFormat="false" ht="15.75" hidden="false" customHeight="true" outlineLevel="0" collapsed="false">
      <c r="A8" s="3" t="s">
        <v>139</v>
      </c>
      <c r="B8" s="3"/>
      <c r="C8" s="3"/>
      <c r="D8" s="3"/>
      <c r="E8" s="3"/>
      <c r="F8" s="3" t="s">
        <v>140</v>
      </c>
      <c r="G8" s="3"/>
      <c r="H8" s="3"/>
      <c r="I8" s="3"/>
    </row>
    <row r="9" customFormat="false" ht="15" hidden="false" customHeight="true" outlineLevel="0" collapsed="false">
      <c r="B9" s="54"/>
      <c r="C9" s="54"/>
      <c r="D9" s="54"/>
      <c r="E9" s="54"/>
      <c r="F9" s="54"/>
    </row>
    <row r="10" customFormat="false" ht="15" hidden="false" customHeight="true" outlineLevel="0" collapsed="false">
      <c r="B10" s="5"/>
      <c r="C10" s="55"/>
      <c r="D10" s="56"/>
      <c r="E10" s="57"/>
      <c r="F10" s="56"/>
    </row>
    <row r="11" customFormat="false" ht="15" hidden="false" customHeight="true" outlineLevel="0" collapsed="false">
      <c r="B11" s="5"/>
      <c r="C11" s="55"/>
      <c r="D11" s="56"/>
      <c r="E11" s="57"/>
      <c r="F11" s="56"/>
    </row>
    <row r="12" customFormat="false" ht="15" hidden="false" customHeight="true" outlineLevel="0" collapsed="false">
      <c r="B12" s="5"/>
      <c r="C12" s="58"/>
      <c r="D12" s="56"/>
      <c r="E12" s="59"/>
      <c r="F12" s="56"/>
    </row>
    <row r="13" customFormat="false" ht="15" hidden="false" customHeight="true" outlineLevel="0" collapsed="false"/>
    <row r="14" customFormat="false" ht="15" hidden="false" customHeight="true" outlineLevel="0" collapsed="false">
      <c r="A14" s="60"/>
    </row>
    <row r="15" customFormat="false" ht="15" hidden="false" customHeight="true" outlineLevel="0" collapsed="false">
      <c r="B15" s="54"/>
      <c r="C15" s="54"/>
      <c r="D15" s="54"/>
      <c r="E15" s="54"/>
      <c r="F15" s="54"/>
      <c r="G15" s="54"/>
    </row>
    <row r="16" customFormat="false" ht="15" hidden="false" customHeight="true" outlineLevel="0" collapsed="false">
      <c r="B16" s="5"/>
      <c r="D16" s="57"/>
      <c r="E16" s="57"/>
      <c r="F16" s="57"/>
      <c r="G16" s="12"/>
    </row>
    <row r="17" customFormat="false" ht="15" hidden="false" customHeight="true" outlineLevel="0" collapsed="false">
      <c r="B17" s="5"/>
      <c r="D17" s="57"/>
      <c r="E17" s="57"/>
      <c r="F17" s="57"/>
      <c r="G17" s="12"/>
    </row>
    <row r="18" customFormat="false" ht="15" hidden="false" customHeight="true" outlineLevel="0" collapsed="false">
      <c r="B18" s="5"/>
      <c r="D18" s="57"/>
      <c r="E18" s="57"/>
      <c r="F18" s="57"/>
      <c r="G18" s="12"/>
    </row>
    <row r="19" customFormat="false" ht="15" hidden="false" customHeight="true" outlineLevel="0" collapsed="false">
      <c r="B19" s="5"/>
      <c r="D19" s="55"/>
      <c r="E19" s="55"/>
      <c r="F19" s="55"/>
      <c r="G19" s="12"/>
    </row>
    <row r="20" customFormat="false" ht="15" hidden="false" customHeight="true" outlineLevel="0" collapsed="false">
      <c r="B20" s="5"/>
      <c r="D20" s="57"/>
      <c r="E20" s="57"/>
      <c r="F20" s="57"/>
      <c r="G20" s="12"/>
    </row>
    <row r="21" customFormat="false" ht="15" hidden="false" customHeight="true" outlineLevel="0" collapsed="false">
      <c r="B21" s="5"/>
      <c r="D21" s="61"/>
      <c r="E21" s="61"/>
      <c r="F21" s="61"/>
      <c r="G21" s="12"/>
    </row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7.5" hidden="false" customHeight="true" outlineLevel="0" collapsed="false"/>
    <row r="29" customFormat="false" ht="15.75" hidden="false" customHeight="true" outlineLevel="0" collapsed="false">
      <c r="A29" s="3" t="s">
        <v>141</v>
      </c>
      <c r="B29" s="3"/>
      <c r="C29" s="3"/>
      <c r="D29" s="3"/>
      <c r="E29" s="3"/>
      <c r="F29" s="3" t="s">
        <v>142</v>
      </c>
      <c r="G29" s="3"/>
      <c r="H29" s="3"/>
      <c r="I29" s="3"/>
    </row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7.5" hidden="false" customHeight="true" outlineLevel="0" collapsed="false"/>
    <row r="45" customFormat="false" ht="15.75" hidden="false" customHeight="true" outlineLevel="0" collapsed="false">
      <c r="A45" s="3" t="s">
        <v>143</v>
      </c>
      <c r="B45" s="3"/>
      <c r="C45" s="3"/>
      <c r="D45" s="3"/>
      <c r="E45" s="3"/>
      <c r="F45" s="3"/>
      <c r="G45" s="3"/>
      <c r="H45" s="3"/>
      <c r="I45" s="3"/>
    </row>
    <row r="46" customFormat="false" ht="21.75" hidden="false" customHeight="true" outlineLevel="0" collapsed="false">
      <c r="B46" s="62" t="s">
        <v>65</v>
      </c>
      <c r="C46" s="62" t="s">
        <v>66</v>
      </c>
      <c r="D46" s="62" t="s">
        <v>144</v>
      </c>
      <c r="E46" s="62" t="s">
        <v>145</v>
      </c>
      <c r="F46" s="62" t="s">
        <v>146</v>
      </c>
      <c r="G46" s="62"/>
      <c r="H46" s="62"/>
      <c r="I46" s="62"/>
    </row>
    <row r="47" customFormat="false" ht="15.75" hidden="false" customHeight="true" outlineLevel="0" collapsed="false">
      <c r="B47" s="5" t="s">
        <v>108</v>
      </c>
      <c r="C47" s="63" t="n">
        <f aca="false">IFERROR(Obliczenia!C7,"")</f>
        <v>32</v>
      </c>
      <c r="D47" s="28" t="n">
        <f aca="false">IFERROR(Obliczenia!C33,"")</f>
        <v>0.551724137931035</v>
      </c>
      <c r="E47" s="9" t="n">
        <f aca="false">IFERROR(Obliczenia!C27,"")</f>
        <v>309.312</v>
      </c>
      <c r="F47" s="28" t="n">
        <f aca="false">IFERROR(C47/E49,"")</f>
        <v>0.0567508707711734</v>
      </c>
      <c r="G47" s="64"/>
      <c r="H47" s="64"/>
      <c r="I47" s="64"/>
    </row>
    <row r="48" customFormat="false" ht="15.75" hidden="false" customHeight="true" outlineLevel="0" collapsed="false">
      <c r="B48" s="5" t="s">
        <v>109</v>
      </c>
      <c r="C48" s="63" t="n">
        <f aca="false">IFERROR(Obliczenia!C6,"")</f>
        <v>26</v>
      </c>
      <c r="D48" s="28" t="n">
        <f aca="false">IFERROR(Obliczenia!D33,"")</f>
        <v>0.448275862068966</v>
      </c>
      <c r="E48" s="9" t="n">
        <f aca="false">IFERROR(Obliczenia!D27,"")</f>
        <v>254.556</v>
      </c>
      <c r="F48" s="28" t="n">
        <f aca="false">IFERROR(C48/E49,"")</f>
        <v>0.0461100825015784</v>
      </c>
      <c r="G48" s="64"/>
      <c r="H48" s="64"/>
      <c r="I48" s="64"/>
    </row>
    <row r="49" customFormat="false" ht="15.75" hidden="false" customHeight="true" outlineLevel="0" collapsed="false">
      <c r="B49" s="5" t="s">
        <v>147</v>
      </c>
      <c r="C49" s="65" t="n">
        <f aca="false">IFERROR(Obliczenia!C5,"")</f>
        <v>58</v>
      </c>
      <c r="D49" s="66" t="n">
        <f aca="false">IFERROR(C47+C48,"")</f>
        <v>58</v>
      </c>
      <c r="E49" s="10" t="n">
        <f aca="false">IFERROR('Dane wejściowe'!H10,"")</f>
        <v>563.868</v>
      </c>
      <c r="F49" s="66" t="n">
        <f aca="false">IFERROR(E47/E47,"")</f>
        <v>1</v>
      </c>
      <c r="G49" s="67"/>
      <c r="H49" s="67"/>
      <c r="I49" s="67"/>
    </row>
    <row r="51" customFormat="false" ht="7.5" hidden="false" customHeight="true" outlineLevel="0" collapsed="false"/>
    <row r="52" customFormat="false" ht="15.75" hidden="false" customHeight="true" outlineLevel="0" collapsed="false">
      <c r="A52" s="3" t="s">
        <v>148</v>
      </c>
      <c r="B52" s="3"/>
      <c r="C52" s="3"/>
      <c r="D52" s="3"/>
      <c r="E52" s="3"/>
      <c r="F52" s="3"/>
      <c r="G52" s="3"/>
      <c r="H52" s="3"/>
      <c r="I52" s="3"/>
    </row>
    <row r="53" customFormat="false" ht="21.75" hidden="false" customHeight="true" outlineLevel="0" collapsed="false">
      <c r="B53" s="62" t="s">
        <v>149</v>
      </c>
      <c r="C53" s="62"/>
      <c r="D53" s="62" t="s">
        <v>108</v>
      </c>
      <c r="E53" s="62" t="s">
        <v>109</v>
      </c>
      <c r="F53" s="62" t="s">
        <v>110</v>
      </c>
      <c r="G53" s="62" t="s">
        <v>67</v>
      </c>
      <c r="H53" s="62"/>
      <c r="I53" s="62"/>
    </row>
    <row r="54" customFormat="false" ht="15.75" hidden="false" customHeight="true" outlineLevel="0" collapsed="false">
      <c r="B54" s="68" t="s">
        <v>150</v>
      </c>
      <c r="C54" s="68"/>
      <c r="D54" s="9" t="n">
        <f aca="false">IFERROR(AVERAGEIF('Historia miesięczna'!F7:F54,"&lt;&gt;"""),"")</f>
        <v>291.06</v>
      </c>
      <c r="E54" s="9" t="n">
        <f aca="false">IFERROR(AVERAGEIF('Historia miesięczna'!G7:G54,"&lt;&gt;"""),"")</f>
        <v>218.05</v>
      </c>
      <c r="F54" s="9" t="n">
        <f aca="false">IFERROR(AVERAGEIF('Historia miesięczna'!E7:E54,"&lt;&gt;"""),"")</f>
        <v>509.11</v>
      </c>
      <c r="G54" s="69" t="s">
        <v>151</v>
      </c>
      <c r="H54" s="69"/>
      <c r="I54" s="69"/>
    </row>
    <row r="55" customFormat="false" ht="15.75" hidden="false" customHeight="true" outlineLevel="0" collapsed="false">
      <c r="B55" s="68" t="s">
        <v>152</v>
      </c>
      <c r="C55" s="68"/>
      <c r="D55" s="9" t="n">
        <f aca="false">IFERROR(IF(COUNTA('Historia miesięczna'!F7:F54)=0,"-",MAX('Historia miesięczna'!F7:F54)),"")</f>
        <v>291.06</v>
      </c>
      <c r="E55" s="9" t="n">
        <f aca="false">IFERROR(IF(COUNTA('Historia miesięczna'!G7:G54)=0,"-",MAX('Historia miesięczna'!G7:G54)),"")</f>
        <v>218.05</v>
      </c>
      <c r="F55" s="9" t="n">
        <f aca="false">IFERROR(IF(COUNTA('Historia miesięczna'!E7:E54)=0,"-",MAX('Historia miesięczna'!E7:E54)),"")</f>
        <v>509.11</v>
      </c>
      <c r="G55" s="69"/>
      <c r="H55" s="69"/>
      <c r="I55" s="69"/>
    </row>
    <row r="56" customFormat="false" ht="15.75" hidden="false" customHeight="true" outlineLevel="0" collapsed="false">
      <c r="B56" s="68" t="s">
        <v>153</v>
      </c>
      <c r="C56" s="68"/>
      <c r="D56" s="9" t="str">
        <f aca="false">IFERROR(IF(COUNTA('Historia miesięczna'!F7:F54)=0,"-",_xludf.minifs('Historia miesięczna'!F7:F54,'Historia miesięczna'!F7:F54,"&gt;0")),"")</f>
        <v/>
      </c>
      <c r="E56" s="9" t="str">
        <f aca="false">IFERROR(IF(COUNTA('Historia miesięczna'!G7:G54)=0,"-",_xludf.minifs('Historia miesięczna'!G7:G54,'Historia miesięczna'!G7:G54,"&gt;0")),"")</f>
        <v/>
      </c>
      <c r="F56" s="9" t="str">
        <f aca="false">IFERROR(IF(COUNTA('Historia miesięczna'!E7:E54)=0,"-",_xludf.minifs('Historia miesięczna'!E7:E54,'Historia miesięczna'!E7:E54,"&gt;0")),"")</f>
        <v/>
      </c>
      <c r="G56" s="69"/>
      <c r="H56" s="69"/>
      <c r="I56" s="69"/>
    </row>
    <row r="57" customFormat="false" ht="15.75" hidden="false" customHeight="true" outlineLevel="0" collapsed="false">
      <c r="B57" s="68" t="s">
        <v>154</v>
      </c>
      <c r="C57" s="68"/>
      <c r="D57" s="63" t="n">
        <f aca="false">IFERROR(SUMIF('Historia miesięczna'!D7:D54,"&lt;&gt;"""),"")</f>
        <v>30</v>
      </c>
      <c r="E57" s="63" t="n">
        <f aca="false">IFERROR(SUMIF('Historia miesięczna'!C7:C54,"&lt;&gt;"""),"")</f>
        <v>22</v>
      </c>
      <c r="F57" s="63" t="n">
        <f aca="false">IFERROR(SUMIF('Historia miesięczna'!B7:B54,"&lt;&gt;"""),"")</f>
        <v>52</v>
      </c>
      <c r="G57" s="69" t="s">
        <v>155</v>
      </c>
      <c r="H57" s="69"/>
      <c r="I57" s="69"/>
    </row>
    <row r="58" customFormat="false" ht="15.75" hidden="false" customHeight="true" outlineLevel="0" collapsed="false">
      <c r="B58" s="68" t="s">
        <v>156</v>
      </c>
      <c r="C58" s="68"/>
      <c r="D58" s="9" t="n">
        <f aca="false">IFERROR(SUMIF('Historia miesięczna'!F7:F54,"&lt;&gt;"""),"")</f>
        <v>291.06</v>
      </c>
      <c r="E58" s="9" t="n">
        <f aca="false">IFERROR(SUMIF('Historia miesięczna'!G7:G54,"&lt;&gt;"""),"")</f>
        <v>218.05</v>
      </c>
      <c r="F58" s="9" t="n">
        <f aca="false">IFERROR(SUMIF('Historia miesięczna'!E7:E54,"&lt;&gt;"""),"")</f>
        <v>509.11</v>
      </c>
      <c r="G58" s="69" t="s">
        <v>157</v>
      </c>
      <c r="H58" s="69"/>
      <c r="I58" s="69"/>
    </row>
    <row r="59" customFormat="false" ht="15.75" hidden="false" customHeight="true" outlineLevel="0" collapsed="false">
      <c r="B59" s="68" t="s">
        <v>158</v>
      </c>
      <c r="C59" s="68"/>
      <c r="D59" s="70" t="n">
        <f aca="false">IFERROR(COUNTA('Historia miesięczna'!A7:A54),"")</f>
        <v>1</v>
      </c>
      <c r="E59" s="70" t="n">
        <f aca="false">C59</f>
        <v>0</v>
      </c>
      <c r="F59" s="70" t="n">
        <f aca="false">C59</f>
        <v>0</v>
      </c>
      <c r="G59" s="69"/>
      <c r="H59" s="69"/>
      <c r="I59" s="69"/>
    </row>
  </sheetData>
  <mergeCells count="32">
    <mergeCell ref="A1:I1"/>
    <mergeCell ref="A2:I2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A8:E8"/>
    <mergeCell ref="F8:I8"/>
    <mergeCell ref="A29:E29"/>
    <mergeCell ref="F29:I29"/>
    <mergeCell ref="A45:I45"/>
    <mergeCell ref="A52:I52"/>
    <mergeCell ref="B54:C54"/>
    <mergeCell ref="G54:I54"/>
    <mergeCell ref="B55:C55"/>
    <mergeCell ref="G55:I55"/>
    <mergeCell ref="B56:C56"/>
    <mergeCell ref="G56:I56"/>
    <mergeCell ref="B57:C57"/>
    <mergeCell ref="G57:I57"/>
    <mergeCell ref="B58:C58"/>
    <mergeCell ref="G58:I58"/>
    <mergeCell ref="B59:C59"/>
    <mergeCell ref="G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3"/>
  </cols>
  <sheetData>
    <row r="1" customFormat="false" ht="15.75" hidden="false" customHeight="true" outlineLevel="0" collapsed="false">
      <c r="A1" s="71" t="s">
        <v>159</v>
      </c>
      <c r="B1" s="8" t="n">
        <v>6</v>
      </c>
    </row>
    <row r="2" customFormat="false" ht="27.75" hidden="false" customHeight="true" outlineLevel="0" collapsed="false">
      <c r="A2" s="62" t="s">
        <v>160</v>
      </c>
      <c r="B2" s="62" t="s">
        <v>161</v>
      </c>
      <c r="C2" s="62" t="s">
        <v>162</v>
      </c>
      <c r="D2" s="62" t="s">
        <v>163</v>
      </c>
      <c r="E2" s="62" t="s">
        <v>164</v>
      </c>
      <c r="F2" s="62" t="s">
        <v>165</v>
      </c>
      <c r="G2" s="62" t="s">
        <v>166</v>
      </c>
      <c r="H2" s="62" t="s">
        <v>167</v>
      </c>
      <c r="I2" s="62" t="s">
        <v>168</v>
      </c>
    </row>
    <row r="3" customFormat="false" ht="13.5" hidden="false" customHeight="true" outlineLevel="0" collapsed="false">
      <c r="A3" s="72" t="n">
        <v>1</v>
      </c>
      <c r="B3" s="73" t="str">
        <f aca="false">IFERROR(IF(COUNTA('Historia miesięczna'!$A$7:$A$54)&gt;=2,'Historia miesięczna'!A7,""),"")</f>
        <v/>
      </c>
      <c r="C3" s="74" t="str">
        <f aca="false">IFERROR(IF(COUNTA('Historia miesięczna'!$A$7:$A$54)&gt;=2,'Historia miesięczna'!B7,""),"")</f>
        <v/>
      </c>
      <c r="D3" s="74" t="str">
        <f aca="false">IFERROR(IF(COUNTA('Historia miesięczna'!$A$7:$A$54)&gt;=2,'Historia miesięczna'!D7,""),"")</f>
        <v/>
      </c>
      <c r="E3" s="74" t="str">
        <f aca="false">IFERROR(IF(COUNTA('Historia miesięczna'!$A$7:$A$54)&gt;=2,'Historia miesięczna'!C7,""),"")</f>
        <v/>
      </c>
      <c r="F3" s="75" t="str">
        <f aca="false">IFERROR(IF(COUNTA('Historia miesięczna'!$A$7:$A$54)&gt;=2,'Historia miesięczna'!E7,""),"")</f>
        <v/>
      </c>
      <c r="G3" s="75" t="str">
        <f aca="false">IFERROR(IF(COUNTA('Historia miesięczna'!$A$7:$A$54)&gt;=2,'Historia miesięczna'!F7,""),"")</f>
        <v/>
      </c>
      <c r="H3" s="75" t="str">
        <f aca="false">IFERROR(IF(COUNTA('Historia miesięczna'!$A$7:$A$54)&gt;=2,'Historia miesięczna'!G7,""),"")</f>
        <v/>
      </c>
      <c r="I3" s="76" t="str">
        <f aca="false">IFERROR(IF(COUNTA('Historia miesięczna'!$A$7:$A$54)&gt;=2,'Historia miesięczna'!I7,""),"")</f>
        <v/>
      </c>
    </row>
    <row r="4" customFormat="false" ht="13.5" hidden="false" customHeight="true" outlineLevel="0" collapsed="false">
      <c r="A4" s="77" t="n">
        <v>2</v>
      </c>
      <c r="B4" s="78" t="str">
        <f aca="false">IFERROR(IF(COUNTA('Historia miesięczna'!$A$7:$A$54)&gt;=2,'Historia miesięczna'!A8,""),"")</f>
        <v/>
      </c>
      <c r="C4" s="79" t="str">
        <f aca="false">IFERROR(IF(COUNTA('Historia miesięczna'!$A$7:$A$54)&gt;=2,'Historia miesięczna'!B8,""),"")</f>
        <v/>
      </c>
      <c r="D4" s="79" t="str">
        <f aca="false">IFERROR(IF(COUNTA('Historia miesięczna'!$A$7:$A$54)&gt;=2,'Historia miesięczna'!D8,""),"")</f>
        <v/>
      </c>
      <c r="E4" s="79" t="str">
        <f aca="false">IFERROR(IF(COUNTA('Historia miesięczna'!$A$7:$A$54)&gt;=2,'Historia miesięczna'!C8,""),"")</f>
        <v/>
      </c>
      <c r="F4" s="80" t="str">
        <f aca="false">IFERROR(IF(COUNTA('Historia miesięczna'!$A$7:$A$54)&gt;=2,'Historia miesięczna'!E8,""),"")</f>
        <v/>
      </c>
      <c r="G4" s="80" t="str">
        <f aca="false">IFERROR(IF(COUNTA('Historia miesięczna'!$A$7:$A$54)&gt;=2,'Historia miesięczna'!F8,""),"")</f>
        <v/>
      </c>
      <c r="H4" s="80" t="str">
        <f aca="false">IFERROR(IF(COUNTA('Historia miesięczna'!$A$7:$A$54)&gt;=2,'Historia miesięczna'!G8,""),"")</f>
        <v/>
      </c>
      <c r="I4" s="81" t="str">
        <f aca="false">IFERROR(IF(COUNTA('Historia miesięczna'!$A$7:$A$54)&gt;=2,'Historia miesięczna'!I8,""),"")</f>
        <v/>
      </c>
    </row>
    <row r="5" customFormat="false" ht="13.5" hidden="false" customHeight="true" outlineLevel="0" collapsed="false">
      <c r="A5" s="72" t="n">
        <v>3</v>
      </c>
      <c r="B5" s="73" t="str">
        <f aca="false">IFERROR(IF(COUNTA('Historia miesięczna'!$A$7:$A$54)&gt;=2,'Historia miesięczna'!A9,""),"")</f>
        <v/>
      </c>
      <c r="C5" s="74" t="str">
        <f aca="false">IFERROR(IF(COUNTA('Historia miesięczna'!$A$7:$A$54)&gt;=2,'Historia miesięczna'!B9,""),"")</f>
        <v/>
      </c>
      <c r="D5" s="74" t="str">
        <f aca="false">IFERROR(IF(COUNTA('Historia miesięczna'!$A$7:$A$54)&gt;=2,'Historia miesięczna'!D9,""),"")</f>
        <v/>
      </c>
      <c r="E5" s="74" t="str">
        <f aca="false">IFERROR(IF(COUNTA('Historia miesięczna'!$A$7:$A$54)&gt;=2,'Historia miesięczna'!C9,""),"")</f>
        <v/>
      </c>
      <c r="F5" s="75" t="str">
        <f aca="false">IFERROR(IF(COUNTA('Historia miesięczna'!$A$7:$A$54)&gt;=2,'Historia miesięczna'!E9,""),"")</f>
        <v/>
      </c>
      <c r="G5" s="75" t="str">
        <f aca="false">IFERROR(IF(COUNTA('Historia miesięczna'!$A$7:$A$54)&gt;=2,'Historia miesięczna'!F9,""),"")</f>
        <v/>
      </c>
      <c r="H5" s="75" t="str">
        <f aca="false">IFERROR(IF(COUNTA('Historia miesięczna'!$A$7:$A$54)&gt;=2,'Historia miesięczna'!G9,""),"")</f>
        <v/>
      </c>
      <c r="I5" s="76" t="str">
        <f aca="false">IFERROR(IF(COUNTA('Historia miesięczna'!$A$7:$A$54)&gt;=2,'Historia miesięczna'!I9,""),"")</f>
        <v/>
      </c>
    </row>
    <row r="6" customFormat="false" ht="13.5" hidden="false" customHeight="true" outlineLevel="0" collapsed="false">
      <c r="A6" s="77" t="n">
        <v>4</v>
      </c>
      <c r="B6" s="78" t="str">
        <f aca="false">IFERROR(IF(COUNTA('Historia miesięczna'!$A$7:$A$54)&gt;=2,'Historia miesięczna'!A10,""),"")</f>
        <v/>
      </c>
      <c r="C6" s="79" t="str">
        <f aca="false">IFERROR(IF(COUNTA('Historia miesięczna'!$A$7:$A$54)&gt;=2,'Historia miesięczna'!B10,""),"")</f>
        <v/>
      </c>
      <c r="D6" s="79" t="str">
        <f aca="false">IFERROR(IF(COUNTA('Historia miesięczna'!$A$7:$A$54)&gt;=2,'Historia miesięczna'!D10,""),"")</f>
        <v/>
      </c>
      <c r="E6" s="79" t="str">
        <f aca="false">IFERROR(IF(COUNTA('Historia miesięczna'!$A$7:$A$54)&gt;=2,'Historia miesięczna'!C10,""),"")</f>
        <v/>
      </c>
      <c r="F6" s="80" t="str">
        <f aca="false">IFERROR(IF(COUNTA('Historia miesięczna'!$A$7:$A$54)&gt;=2,'Historia miesięczna'!E10,""),"")</f>
        <v/>
      </c>
      <c r="G6" s="80" t="str">
        <f aca="false">IFERROR(IF(COUNTA('Historia miesięczna'!$A$7:$A$54)&gt;=2,'Historia miesięczna'!F10,""),"")</f>
        <v/>
      </c>
      <c r="H6" s="80" t="str">
        <f aca="false">IFERROR(IF(COUNTA('Historia miesięczna'!$A$7:$A$54)&gt;=2,'Historia miesięczna'!G10,""),"")</f>
        <v/>
      </c>
      <c r="I6" s="81" t="str">
        <f aca="false">IFERROR(IF(COUNTA('Historia miesięczna'!$A$7:$A$54)&gt;=2,'Historia miesięczna'!I10,""),"")</f>
        <v/>
      </c>
    </row>
    <row r="7" customFormat="false" ht="13.5" hidden="false" customHeight="true" outlineLevel="0" collapsed="false">
      <c r="A7" s="72" t="n">
        <v>5</v>
      </c>
      <c r="B7" s="73" t="str">
        <f aca="false">IFERROR(IF(COUNTA('Historia miesięczna'!$A$7:$A$54)&gt;=2,'Historia miesięczna'!A11,""),"")</f>
        <v/>
      </c>
      <c r="C7" s="74" t="str">
        <f aca="false">IFERROR(IF(COUNTA('Historia miesięczna'!$A$7:$A$54)&gt;=2,'Historia miesięczna'!B11,""),"")</f>
        <v/>
      </c>
      <c r="D7" s="74" t="str">
        <f aca="false">IFERROR(IF(COUNTA('Historia miesięczna'!$A$7:$A$54)&gt;=2,'Historia miesięczna'!D11,""),"")</f>
        <v/>
      </c>
      <c r="E7" s="74" t="str">
        <f aca="false">IFERROR(IF(COUNTA('Historia miesięczna'!$A$7:$A$54)&gt;=2,'Historia miesięczna'!C11,""),"")</f>
        <v/>
      </c>
      <c r="F7" s="75" t="str">
        <f aca="false">IFERROR(IF(COUNTA('Historia miesięczna'!$A$7:$A$54)&gt;=2,'Historia miesięczna'!E11,""),"")</f>
        <v/>
      </c>
      <c r="G7" s="75" t="str">
        <f aca="false">IFERROR(IF(COUNTA('Historia miesięczna'!$A$7:$A$54)&gt;=2,'Historia miesięczna'!F11,""),"")</f>
        <v/>
      </c>
      <c r="H7" s="75" t="str">
        <f aca="false">IFERROR(IF(COUNTA('Historia miesięczna'!$A$7:$A$54)&gt;=2,'Historia miesięczna'!G11,""),"")</f>
        <v/>
      </c>
      <c r="I7" s="76" t="str">
        <f aca="false">IFERROR(IF(COUNTA('Historia miesięczna'!$A$7:$A$54)&gt;=2,'Historia miesięczna'!I11,""),"")</f>
        <v/>
      </c>
    </row>
    <row r="8" customFormat="false" ht="13.5" hidden="false" customHeight="true" outlineLevel="0" collapsed="false">
      <c r="A8" s="77" t="n">
        <v>6</v>
      </c>
      <c r="B8" s="78" t="str">
        <f aca="false">IFERROR(IF(COUNTA('Historia miesięczna'!$A$7:$A$54)&gt;=2,'Historia miesięczna'!A12,""),"")</f>
        <v/>
      </c>
      <c r="C8" s="79" t="str">
        <f aca="false">IFERROR(IF(COUNTA('Historia miesięczna'!$A$7:$A$54)&gt;=2,'Historia miesięczna'!B12,""),"")</f>
        <v/>
      </c>
      <c r="D8" s="79" t="str">
        <f aca="false">IFERROR(IF(COUNTA('Historia miesięczna'!$A$7:$A$54)&gt;=2,'Historia miesięczna'!D12,""),"")</f>
        <v/>
      </c>
      <c r="E8" s="79" t="str">
        <f aca="false">IFERROR(IF(COUNTA('Historia miesięczna'!$A$7:$A$54)&gt;=2,'Historia miesięczna'!C12,""),"")</f>
        <v/>
      </c>
      <c r="F8" s="80" t="str">
        <f aca="false">IFERROR(IF(COUNTA('Historia miesięczna'!$A$7:$A$54)&gt;=2,'Historia miesięczna'!E12,""),"")</f>
        <v/>
      </c>
      <c r="G8" s="80" t="str">
        <f aca="false">IFERROR(IF(COUNTA('Historia miesięczna'!$A$7:$A$54)&gt;=2,'Historia miesięczna'!F12,""),"")</f>
        <v/>
      </c>
      <c r="H8" s="80" t="str">
        <f aca="false">IFERROR(IF(COUNTA('Historia miesięczna'!$A$7:$A$54)&gt;=2,'Historia miesięczna'!G12,""),"")</f>
        <v/>
      </c>
      <c r="I8" s="81" t="str">
        <f aca="false">IFERROR(IF(COUNTA('Historia miesięczna'!$A$7:$A$54)&gt;=2,'Historia miesięczna'!I12,""),"")</f>
        <v/>
      </c>
    </row>
    <row r="9" customFormat="false" ht="13.5" hidden="false" customHeight="true" outlineLevel="0" collapsed="false">
      <c r="A9" s="72" t="n">
        <v>7</v>
      </c>
      <c r="B9" s="73" t="str">
        <f aca="false">IFERROR(IF(COUNTA('Historia miesięczna'!$A$7:$A$54)&gt;=2,'Historia miesięczna'!A13,""),"")</f>
        <v/>
      </c>
      <c r="C9" s="74" t="str">
        <f aca="false">IFERROR(IF(COUNTA('Historia miesięczna'!$A$7:$A$54)&gt;=2,'Historia miesięczna'!B13,""),"")</f>
        <v/>
      </c>
      <c r="D9" s="74" t="str">
        <f aca="false">IFERROR(IF(COUNTA('Historia miesięczna'!$A$7:$A$54)&gt;=2,'Historia miesięczna'!D13,""),"")</f>
        <v/>
      </c>
      <c r="E9" s="74" t="str">
        <f aca="false">IFERROR(IF(COUNTA('Historia miesięczna'!$A$7:$A$54)&gt;=2,'Historia miesięczna'!C13,""),"")</f>
        <v/>
      </c>
      <c r="F9" s="75" t="str">
        <f aca="false">IFERROR(IF(COUNTA('Historia miesięczna'!$A$7:$A$54)&gt;=2,'Historia miesięczna'!E13,""),"")</f>
        <v/>
      </c>
      <c r="G9" s="75" t="str">
        <f aca="false">IFERROR(IF(COUNTA('Historia miesięczna'!$A$7:$A$54)&gt;=2,'Historia miesięczna'!F13,""),"")</f>
        <v/>
      </c>
      <c r="H9" s="75" t="str">
        <f aca="false">IFERROR(IF(COUNTA('Historia miesięczna'!$A$7:$A$54)&gt;=2,'Historia miesięczna'!G13,""),"")</f>
        <v/>
      </c>
      <c r="I9" s="76" t="str">
        <f aca="false">IFERROR(IF(COUNTA('Historia miesięczna'!$A$7:$A$54)&gt;=2,'Historia miesięczna'!I13,""),"")</f>
        <v/>
      </c>
    </row>
    <row r="10" customFormat="false" ht="13.5" hidden="false" customHeight="true" outlineLevel="0" collapsed="false">
      <c r="A10" s="77" t="n">
        <v>8</v>
      </c>
      <c r="B10" s="78" t="str">
        <f aca="false">IFERROR(IF(COUNTA('Historia miesięczna'!$A$7:$A$54)&gt;=2,'Historia miesięczna'!A14,""),"")</f>
        <v/>
      </c>
      <c r="C10" s="79" t="str">
        <f aca="false">IFERROR(IF(COUNTA('Historia miesięczna'!$A$7:$A$54)&gt;=2,'Historia miesięczna'!B14,""),"")</f>
        <v/>
      </c>
      <c r="D10" s="79" t="str">
        <f aca="false">IFERROR(IF(COUNTA('Historia miesięczna'!$A$7:$A$54)&gt;=2,'Historia miesięczna'!D14,""),"")</f>
        <v/>
      </c>
      <c r="E10" s="79" t="str">
        <f aca="false">IFERROR(IF(COUNTA('Historia miesięczna'!$A$7:$A$54)&gt;=2,'Historia miesięczna'!C14,""),"")</f>
        <v/>
      </c>
      <c r="F10" s="80" t="str">
        <f aca="false">IFERROR(IF(COUNTA('Historia miesięczna'!$A$7:$A$54)&gt;=2,'Historia miesięczna'!E14,""),"")</f>
        <v/>
      </c>
      <c r="G10" s="80" t="str">
        <f aca="false">IFERROR(IF(COUNTA('Historia miesięczna'!$A$7:$A$54)&gt;=2,'Historia miesięczna'!F14,""),"")</f>
        <v/>
      </c>
      <c r="H10" s="80" t="str">
        <f aca="false">IFERROR(IF(COUNTA('Historia miesięczna'!$A$7:$A$54)&gt;=2,'Historia miesięczna'!G14,""),"")</f>
        <v/>
      </c>
      <c r="I10" s="81" t="str">
        <f aca="false">IFERROR(IF(COUNTA('Historia miesięczna'!$A$7:$A$54)&gt;=2,'Historia miesięczna'!I14,""),"")</f>
        <v/>
      </c>
    </row>
    <row r="11" customFormat="false" ht="13.5" hidden="false" customHeight="true" outlineLevel="0" collapsed="false">
      <c r="A11" s="72" t="n">
        <v>9</v>
      </c>
      <c r="B11" s="73" t="str">
        <f aca="false">IFERROR(IF(COUNTA('Historia miesięczna'!$A$7:$A$54)&gt;=2,'Historia miesięczna'!A15,""),"")</f>
        <v/>
      </c>
      <c r="C11" s="74" t="str">
        <f aca="false">IFERROR(IF(COUNTA('Historia miesięczna'!$A$7:$A$54)&gt;=2,'Historia miesięczna'!B15,""),"")</f>
        <v/>
      </c>
      <c r="D11" s="74" t="str">
        <f aca="false">IFERROR(IF(COUNTA('Historia miesięczna'!$A$7:$A$54)&gt;=2,'Historia miesięczna'!D15,""),"")</f>
        <v/>
      </c>
      <c r="E11" s="74" t="str">
        <f aca="false">IFERROR(IF(COUNTA('Historia miesięczna'!$A$7:$A$54)&gt;=2,'Historia miesięczna'!C15,""),"")</f>
        <v/>
      </c>
      <c r="F11" s="75" t="str">
        <f aca="false">IFERROR(IF(COUNTA('Historia miesięczna'!$A$7:$A$54)&gt;=2,'Historia miesięczna'!E15,""),"")</f>
        <v/>
      </c>
      <c r="G11" s="75" t="str">
        <f aca="false">IFERROR(IF(COUNTA('Historia miesięczna'!$A$7:$A$54)&gt;=2,'Historia miesięczna'!F15,""),"")</f>
        <v/>
      </c>
      <c r="H11" s="75" t="str">
        <f aca="false">IFERROR(IF(COUNTA('Historia miesięczna'!$A$7:$A$54)&gt;=2,'Historia miesięczna'!G15,""),"")</f>
        <v/>
      </c>
      <c r="I11" s="76" t="str">
        <f aca="false">IFERROR(IF(COUNTA('Historia miesięczna'!$A$7:$A$54)&gt;=2,'Historia miesięczna'!I15,""),"")</f>
        <v/>
      </c>
    </row>
    <row r="12" customFormat="false" ht="13.5" hidden="false" customHeight="true" outlineLevel="0" collapsed="false">
      <c r="A12" s="77" t="n">
        <v>10</v>
      </c>
      <c r="B12" s="78" t="str">
        <f aca="false">IFERROR(IF(COUNTA('Historia miesięczna'!$A$7:$A$54)&gt;=2,'Historia miesięczna'!A16,""),"")</f>
        <v/>
      </c>
      <c r="C12" s="79" t="str">
        <f aca="false">IFERROR(IF(COUNTA('Historia miesięczna'!$A$7:$A$54)&gt;=2,'Historia miesięczna'!B16,""),"")</f>
        <v/>
      </c>
      <c r="D12" s="79" t="str">
        <f aca="false">IFERROR(IF(COUNTA('Historia miesięczna'!$A$7:$A$54)&gt;=2,'Historia miesięczna'!D16,""),"")</f>
        <v/>
      </c>
      <c r="E12" s="79" t="str">
        <f aca="false">IFERROR(IF(COUNTA('Historia miesięczna'!$A$7:$A$54)&gt;=2,'Historia miesięczna'!C16,""),"")</f>
        <v/>
      </c>
      <c r="F12" s="80" t="str">
        <f aca="false">IFERROR(IF(COUNTA('Historia miesięczna'!$A$7:$A$54)&gt;=2,'Historia miesięczna'!E16,""),"")</f>
        <v/>
      </c>
      <c r="G12" s="80" t="str">
        <f aca="false">IFERROR(IF(COUNTA('Historia miesięczna'!$A$7:$A$54)&gt;=2,'Historia miesięczna'!F16,""),"")</f>
        <v/>
      </c>
      <c r="H12" s="80" t="str">
        <f aca="false">IFERROR(IF(COUNTA('Historia miesięczna'!$A$7:$A$54)&gt;=2,'Historia miesięczna'!G16,""),"")</f>
        <v/>
      </c>
      <c r="I12" s="81" t="str">
        <f aca="false">IFERROR(IF(COUNTA('Historia miesięczna'!$A$7:$A$54)&gt;=2,'Historia miesięczna'!I16,""),"")</f>
        <v/>
      </c>
    </row>
    <row r="13" customFormat="false" ht="13.5" hidden="false" customHeight="true" outlineLevel="0" collapsed="false">
      <c r="A13" s="72" t="n">
        <v>11</v>
      </c>
      <c r="B13" s="73" t="str">
        <f aca="false">IFERROR(IF(COUNTA('Historia miesięczna'!$A$7:$A$54)&gt;=2,'Historia miesięczna'!A17,""),"")</f>
        <v/>
      </c>
      <c r="C13" s="74" t="str">
        <f aca="false">IFERROR(IF(COUNTA('Historia miesięczna'!$A$7:$A$54)&gt;=2,'Historia miesięczna'!B17,""),"")</f>
        <v/>
      </c>
      <c r="D13" s="74" t="str">
        <f aca="false">IFERROR(IF(COUNTA('Historia miesięczna'!$A$7:$A$54)&gt;=2,'Historia miesięczna'!D17,""),"")</f>
        <v/>
      </c>
      <c r="E13" s="74" t="str">
        <f aca="false">IFERROR(IF(COUNTA('Historia miesięczna'!$A$7:$A$54)&gt;=2,'Historia miesięczna'!C17,""),"")</f>
        <v/>
      </c>
      <c r="F13" s="75" t="str">
        <f aca="false">IFERROR(IF(COUNTA('Historia miesięczna'!$A$7:$A$54)&gt;=2,'Historia miesięczna'!E17,""),"")</f>
        <v/>
      </c>
      <c r="G13" s="75" t="str">
        <f aca="false">IFERROR(IF(COUNTA('Historia miesięczna'!$A$7:$A$54)&gt;=2,'Historia miesięczna'!F17,""),"")</f>
        <v/>
      </c>
      <c r="H13" s="75" t="str">
        <f aca="false">IFERROR(IF(COUNTA('Historia miesięczna'!$A$7:$A$54)&gt;=2,'Historia miesięczna'!G17,""),"")</f>
        <v/>
      </c>
      <c r="I13" s="76" t="str">
        <f aca="false">IFERROR(IF(COUNTA('Historia miesięczna'!$A$7:$A$54)&gt;=2,'Historia miesięczna'!I17,""),"")</f>
        <v/>
      </c>
    </row>
    <row r="14" customFormat="false" ht="13.5" hidden="false" customHeight="true" outlineLevel="0" collapsed="false">
      <c r="A14" s="77" t="n">
        <v>12</v>
      </c>
      <c r="B14" s="78" t="str">
        <f aca="false">IFERROR(IF(COUNTA('Historia miesięczna'!$A$7:$A$54)&gt;=2,'Historia miesięczna'!A18,""),"")</f>
        <v/>
      </c>
      <c r="C14" s="79" t="str">
        <f aca="false">IFERROR(IF(COUNTA('Historia miesięczna'!$A$7:$A$54)&gt;=2,'Historia miesięczna'!B18,""),"")</f>
        <v/>
      </c>
      <c r="D14" s="79" t="str">
        <f aca="false">IFERROR(IF(COUNTA('Historia miesięczna'!$A$7:$A$54)&gt;=2,'Historia miesięczna'!D18,""),"")</f>
        <v/>
      </c>
      <c r="E14" s="79" t="str">
        <f aca="false">IFERROR(IF(COUNTA('Historia miesięczna'!$A$7:$A$54)&gt;=2,'Historia miesięczna'!C18,""),"")</f>
        <v/>
      </c>
      <c r="F14" s="80" t="str">
        <f aca="false">IFERROR(IF(COUNTA('Historia miesięczna'!$A$7:$A$54)&gt;=2,'Historia miesięczna'!E18,""),"")</f>
        <v/>
      </c>
      <c r="G14" s="80" t="str">
        <f aca="false">IFERROR(IF(COUNTA('Historia miesięczna'!$A$7:$A$54)&gt;=2,'Historia miesięczna'!F18,""),"")</f>
        <v/>
      </c>
      <c r="H14" s="80" t="str">
        <f aca="false">IFERROR(IF(COUNTA('Historia miesięczna'!$A$7:$A$54)&gt;=2,'Historia miesięczna'!G18,""),"")</f>
        <v/>
      </c>
      <c r="I14" s="81" t="str">
        <f aca="false">IFERROR(IF(COUNTA('Historia miesięczna'!$A$7:$A$54)&gt;=2,'Historia miesięczna'!I18,""),"")</f>
        <v/>
      </c>
    </row>
    <row r="15" customFormat="false" ht="13.5" hidden="false" customHeight="true" outlineLevel="0" collapsed="false">
      <c r="A15" s="72" t="n">
        <v>13</v>
      </c>
      <c r="B15" s="73" t="str">
        <f aca="false">IFERROR(IF(COUNTA('Historia miesięczna'!$A$7:$A$54)&gt;=2,'Historia miesięczna'!A19,""),"")</f>
        <v/>
      </c>
      <c r="C15" s="74" t="str">
        <f aca="false">IFERROR(IF(COUNTA('Historia miesięczna'!$A$7:$A$54)&gt;=2,'Historia miesięczna'!B19,""),"")</f>
        <v/>
      </c>
      <c r="D15" s="74" t="str">
        <f aca="false">IFERROR(IF(COUNTA('Historia miesięczna'!$A$7:$A$54)&gt;=2,'Historia miesięczna'!D19,""),"")</f>
        <v/>
      </c>
      <c r="E15" s="74" t="str">
        <f aca="false">IFERROR(IF(COUNTA('Historia miesięczna'!$A$7:$A$54)&gt;=2,'Historia miesięczna'!C19,""),"")</f>
        <v/>
      </c>
      <c r="F15" s="75" t="str">
        <f aca="false">IFERROR(IF(COUNTA('Historia miesięczna'!$A$7:$A$54)&gt;=2,'Historia miesięczna'!E19,""),"")</f>
        <v/>
      </c>
      <c r="G15" s="75" t="str">
        <f aca="false">IFERROR(IF(COUNTA('Historia miesięczna'!$A$7:$A$54)&gt;=2,'Historia miesięczna'!F19,""),"")</f>
        <v/>
      </c>
      <c r="H15" s="75" t="str">
        <f aca="false">IFERROR(IF(COUNTA('Historia miesięczna'!$A$7:$A$54)&gt;=2,'Historia miesięczna'!G19,""),"")</f>
        <v/>
      </c>
      <c r="I15" s="76" t="str">
        <f aca="false">IFERROR(IF(COUNTA('Historia miesięczna'!$A$7:$A$54)&gt;=2,'Historia miesięczna'!I19,""),"")</f>
        <v/>
      </c>
    </row>
    <row r="16" customFormat="false" ht="13.5" hidden="false" customHeight="true" outlineLevel="0" collapsed="false">
      <c r="A16" s="77" t="n">
        <v>14</v>
      </c>
      <c r="B16" s="78" t="str">
        <f aca="false">IFERROR(IF(COUNTA('Historia miesięczna'!$A$7:$A$54)&gt;=2,'Historia miesięczna'!A20,""),"")</f>
        <v/>
      </c>
      <c r="C16" s="79" t="str">
        <f aca="false">IFERROR(IF(COUNTA('Historia miesięczna'!$A$7:$A$54)&gt;=2,'Historia miesięczna'!B20,""),"")</f>
        <v/>
      </c>
      <c r="D16" s="79" t="str">
        <f aca="false">IFERROR(IF(COUNTA('Historia miesięczna'!$A$7:$A$54)&gt;=2,'Historia miesięczna'!D20,""),"")</f>
        <v/>
      </c>
      <c r="E16" s="79" t="str">
        <f aca="false">IFERROR(IF(COUNTA('Historia miesięczna'!$A$7:$A$54)&gt;=2,'Historia miesięczna'!C20,""),"")</f>
        <v/>
      </c>
      <c r="F16" s="80" t="str">
        <f aca="false">IFERROR(IF(COUNTA('Historia miesięczna'!$A$7:$A$54)&gt;=2,'Historia miesięczna'!E20,""),"")</f>
        <v/>
      </c>
      <c r="G16" s="80" t="str">
        <f aca="false">IFERROR(IF(COUNTA('Historia miesięczna'!$A$7:$A$54)&gt;=2,'Historia miesięczna'!F20,""),"")</f>
        <v/>
      </c>
      <c r="H16" s="80" t="str">
        <f aca="false">IFERROR(IF(COUNTA('Historia miesięczna'!$A$7:$A$54)&gt;=2,'Historia miesięczna'!G20,""),"")</f>
        <v/>
      </c>
      <c r="I16" s="81" t="str">
        <f aca="false">IFERROR(IF(COUNTA('Historia miesięczna'!$A$7:$A$54)&gt;=2,'Historia miesięczna'!I20,""),"")</f>
        <v/>
      </c>
    </row>
    <row r="17" customFormat="false" ht="13.5" hidden="false" customHeight="true" outlineLevel="0" collapsed="false">
      <c r="A17" s="72" t="n">
        <v>15</v>
      </c>
      <c r="B17" s="73" t="str">
        <f aca="false">IFERROR(IF(COUNTA('Historia miesięczna'!$A$7:$A$54)&gt;=2,'Historia miesięczna'!A21,""),"")</f>
        <v/>
      </c>
      <c r="C17" s="74" t="str">
        <f aca="false">IFERROR(IF(COUNTA('Historia miesięczna'!$A$7:$A$54)&gt;=2,'Historia miesięczna'!B21,""),"")</f>
        <v/>
      </c>
      <c r="D17" s="74" t="str">
        <f aca="false">IFERROR(IF(COUNTA('Historia miesięczna'!$A$7:$A$54)&gt;=2,'Historia miesięczna'!D21,""),"")</f>
        <v/>
      </c>
      <c r="E17" s="74" t="str">
        <f aca="false">IFERROR(IF(COUNTA('Historia miesięczna'!$A$7:$A$54)&gt;=2,'Historia miesięczna'!C21,""),"")</f>
        <v/>
      </c>
      <c r="F17" s="75" t="str">
        <f aca="false">IFERROR(IF(COUNTA('Historia miesięczna'!$A$7:$A$54)&gt;=2,'Historia miesięczna'!E21,""),"")</f>
        <v/>
      </c>
      <c r="G17" s="75" t="str">
        <f aca="false">IFERROR(IF(COUNTA('Historia miesięczna'!$A$7:$A$54)&gt;=2,'Historia miesięczna'!F21,""),"")</f>
        <v/>
      </c>
      <c r="H17" s="75" t="str">
        <f aca="false">IFERROR(IF(COUNTA('Historia miesięczna'!$A$7:$A$54)&gt;=2,'Historia miesięczna'!G21,""),"")</f>
        <v/>
      </c>
      <c r="I17" s="76" t="str">
        <f aca="false">IFERROR(IF(COUNTA('Historia miesięczna'!$A$7:$A$54)&gt;=2,'Historia miesięczna'!I21,""),"")</f>
        <v/>
      </c>
    </row>
    <row r="18" customFormat="false" ht="13.5" hidden="false" customHeight="true" outlineLevel="0" collapsed="false">
      <c r="A18" s="77" t="n">
        <v>16</v>
      </c>
      <c r="B18" s="78" t="str">
        <f aca="false">IFERROR(IF(COUNTA('Historia miesięczna'!$A$7:$A$54)&gt;=2,'Historia miesięczna'!A22,""),"")</f>
        <v/>
      </c>
      <c r="C18" s="79" t="str">
        <f aca="false">IFERROR(IF(COUNTA('Historia miesięczna'!$A$7:$A$54)&gt;=2,'Historia miesięczna'!B22,""),"")</f>
        <v/>
      </c>
      <c r="D18" s="79" t="str">
        <f aca="false">IFERROR(IF(COUNTA('Historia miesięczna'!$A$7:$A$54)&gt;=2,'Historia miesięczna'!D22,""),"")</f>
        <v/>
      </c>
      <c r="E18" s="79" t="str">
        <f aca="false">IFERROR(IF(COUNTA('Historia miesięczna'!$A$7:$A$54)&gt;=2,'Historia miesięczna'!C22,""),"")</f>
        <v/>
      </c>
      <c r="F18" s="80" t="str">
        <f aca="false">IFERROR(IF(COUNTA('Historia miesięczna'!$A$7:$A$54)&gt;=2,'Historia miesięczna'!E22,""),"")</f>
        <v/>
      </c>
      <c r="G18" s="80" t="str">
        <f aca="false">IFERROR(IF(COUNTA('Historia miesięczna'!$A$7:$A$54)&gt;=2,'Historia miesięczna'!F22,""),"")</f>
        <v/>
      </c>
      <c r="H18" s="80" t="str">
        <f aca="false">IFERROR(IF(COUNTA('Historia miesięczna'!$A$7:$A$54)&gt;=2,'Historia miesięczna'!G22,""),"")</f>
        <v/>
      </c>
      <c r="I18" s="81" t="str">
        <f aca="false">IFERROR(IF(COUNTA('Historia miesięczna'!$A$7:$A$54)&gt;=2,'Historia miesięczna'!I22,""),"")</f>
        <v/>
      </c>
    </row>
    <row r="19" customFormat="false" ht="13.5" hidden="false" customHeight="true" outlineLevel="0" collapsed="false">
      <c r="A19" s="72" t="n">
        <v>17</v>
      </c>
      <c r="B19" s="73" t="str">
        <f aca="false">IFERROR(IF(COUNTA('Historia miesięczna'!$A$7:$A$54)&gt;=2,'Historia miesięczna'!A23,""),"")</f>
        <v/>
      </c>
      <c r="C19" s="74" t="str">
        <f aca="false">IFERROR(IF(COUNTA('Historia miesięczna'!$A$7:$A$54)&gt;=2,'Historia miesięczna'!B23,""),"")</f>
        <v/>
      </c>
      <c r="D19" s="74" t="str">
        <f aca="false">IFERROR(IF(COUNTA('Historia miesięczna'!$A$7:$A$54)&gt;=2,'Historia miesięczna'!D23,""),"")</f>
        <v/>
      </c>
      <c r="E19" s="74" t="str">
        <f aca="false">IFERROR(IF(COUNTA('Historia miesięczna'!$A$7:$A$54)&gt;=2,'Historia miesięczna'!C23,""),"")</f>
        <v/>
      </c>
      <c r="F19" s="75" t="str">
        <f aca="false">IFERROR(IF(COUNTA('Historia miesięczna'!$A$7:$A$54)&gt;=2,'Historia miesięczna'!E23,""),"")</f>
        <v/>
      </c>
      <c r="G19" s="75" t="str">
        <f aca="false">IFERROR(IF(COUNTA('Historia miesięczna'!$A$7:$A$54)&gt;=2,'Historia miesięczna'!F23,""),"")</f>
        <v/>
      </c>
      <c r="H19" s="75" t="str">
        <f aca="false">IFERROR(IF(COUNTA('Historia miesięczna'!$A$7:$A$54)&gt;=2,'Historia miesięczna'!G23,""),"")</f>
        <v/>
      </c>
      <c r="I19" s="76" t="str">
        <f aca="false">IFERROR(IF(COUNTA('Historia miesięczna'!$A$7:$A$54)&gt;=2,'Historia miesięczna'!I23,""),"")</f>
        <v/>
      </c>
    </row>
    <row r="20" customFormat="false" ht="13.5" hidden="false" customHeight="true" outlineLevel="0" collapsed="false">
      <c r="A20" s="77" t="n">
        <v>18</v>
      </c>
      <c r="B20" s="78" t="str">
        <f aca="false">IFERROR(IF(COUNTA('Historia miesięczna'!$A$7:$A$54)&gt;=2,'Historia miesięczna'!A24,""),"")</f>
        <v/>
      </c>
      <c r="C20" s="79" t="str">
        <f aca="false">IFERROR(IF(COUNTA('Historia miesięczna'!$A$7:$A$54)&gt;=2,'Historia miesięczna'!B24,""),"")</f>
        <v/>
      </c>
      <c r="D20" s="79" t="str">
        <f aca="false">IFERROR(IF(COUNTA('Historia miesięczna'!$A$7:$A$54)&gt;=2,'Historia miesięczna'!D24,""),"")</f>
        <v/>
      </c>
      <c r="E20" s="79" t="str">
        <f aca="false">IFERROR(IF(COUNTA('Historia miesięczna'!$A$7:$A$54)&gt;=2,'Historia miesięczna'!C24,""),"")</f>
        <v/>
      </c>
      <c r="F20" s="80" t="str">
        <f aca="false">IFERROR(IF(COUNTA('Historia miesięczna'!$A$7:$A$54)&gt;=2,'Historia miesięczna'!E24,""),"")</f>
        <v/>
      </c>
      <c r="G20" s="80" t="str">
        <f aca="false">IFERROR(IF(COUNTA('Historia miesięczna'!$A$7:$A$54)&gt;=2,'Historia miesięczna'!F24,""),"")</f>
        <v/>
      </c>
      <c r="H20" s="80" t="str">
        <f aca="false">IFERROR(IF(COUNTA('Historia miesięczna'!$A$7:$A$54)&gt;=2,'Historia miesięczna'!G24,""),"")</f>
        <v/>
      </c>
      <c r="I20" s="81" t="str">
        <f aca="false">IFERROR(IF(COUNTA('Historia miesięczna'!$A$7:$A$54)&gt;=2,'Historia miesięczna'!I24,""),"")</f>
        <v/>
      </c>
    </row>
    <row r="21" customFormat="false" ht="13.5" hidden="false" customHeight="true" outlineLevel="0" collapsed="false">
      <c r="A21" s="72" t="n">
        <v>19</v>
      </c>
      <c r="B21" s="73" t="str">
        <f aca="false">IFERROR(IF(COUNTA('Historia miesięczna'!$A$7:$A$54)&gt;=2,'Historia miesięczna'!A25,""),"")</f>
        <v/>
      </c>
      <c r="C21" s="74" t="str">
        <f aca="false">IFERROR(IF(COUNTA('Historia miesięczna'!$A$7:$A$54)&gt;=2,'Historia miesięczna'!B25,""),"")</f>
        <v/>
      </c>
      <c r="D21" s="74" t="str">
        <f aca="false">IFERROR(IF(COUNTA('Historia miesięczna'!$A$7:$A$54)&gt;=2,'Historia miesięczna'!D25,""),"")</f>
        <v/>
      </c>
      <c r="E21" s="74" t="str">
        <f aca="false">IFERROR(IF(COUNTA('Historia miesięczna'!$A$7:$A$54)&gt;=2,'Historia miesięczna'!C25,""),"")</f>
        <v/>
      </c>
      <c r="F21" s="75" t="str">
        <f aca="false">IFERROR(IF(COUNTA('Historia miesięczna'!$A$7:$A$54)&gt;=2,'Historia miesięczna'!E25,""),"")</f>
        <v/>
      </c>
      <c r="G21" s="75" t="str">
        <f aca="false">IFERROR(IF(COUNTA('Historia miesięczna'!$A$7:$A$54)&gt;=2,'Historia miesięczna'!F25,""),"")</f>
        <v/>
      </c>
      <c r="H21" s="75" t="str">
        <f aca="false">IFERROR(IF(COUNTA('Historia miesięczna'!$A$7:$A$54)&gt;=2,'Historia miesięczna'!G25,""),"")</f>
        <v/>
      </c>
      <c r="I21" s="76" t="str">
        <f aca="false">IFERROR(IF(COUNTA('Historia miesięczna'!$A$7:$A$54)&gt;=2,'Historia miesięczna'!I25,""),"")</f>
        <v/>
      </c>
    </row>
    <row r="22" customFormat="false" ht="13.5" hidden="false" customHeight="true" outlineLevel="0" collapsed="false">
      <c r="A22" s="77" t="n">
        <v>20</v>
      </c>
      <c r="B22" s="78" t="str">
        <f aca="false">IFERROR(IF(COUNTA('Historia miesięczna'!$A$7:$A$54)&gt;=2,'Historia miesięczna'!A26,""),"")</f>
        <v/>
      </c>
      <c r="C22" s="79" t="str">
        <f aca="false">IFERROR(IF(COUNTA('Historia miesięczna'!$A$7:$A$54)&gt;=2,'Historia miesięczna'!B26,""),"")</f>
        <v/>
      </c>
      <c r="D22" s="79" t="str">
        <f aca="false">IFERROR(IF(COUNTA('Historia miesięczna'!$A$7:$A$54)&gt;=2,'Historia miesięczna'!D26,""),"")</f>
        <v/>
      </c>
      <c r="E22" s="79" t="str">
        <f aca="false">IFERROR(IF(COUNTA('Historia miesięczna'!$A$7:$A$54)&gt;=2,'Historia miesięczna'!C26,""),"")</f>
        <v/>
      </c>
      <c r="F22" s="80" t="str">
        <f aca="false">IFERROR(IF(COUNTA('Historia miesięczna'!$A$7:$A$54)&gt;=2,'Historia miesięczna'!E26,""),"")</f>
        <v/>
      </c>
      <c r="G22" s="80" t="str">
        <f aca="false">IFERROR(IF(COUNTA('Historia miesięczna'!$A$7:$A$54)&gt;=2,'Historia miesięczna'!F26,""),"")</f>
        <v/>
      </c>
      <c r="H22" s="80" t="str">
        <f aca="false">IFERROR(IF(COUNTA('Historia miesięczna'!$A$7:$A$54)&gt;=2,'Historia miesięczna'!G26,""),"")</f>
        <v/>
      </c>
      <c r="I22" s="81" t="str">
        <f aca="false">IFERROR(IF(COUNTA('Historia miesięczna'!$A$7:$A$54)&gt;=2,'Historia miesięczna'!I26,""),"")</f>
        <v/>
      </c>
    </row>
    <row r="23" customFormat="false" ht="13.5" hidden="false" customHeight="true" outlineLevel="0" collapsed="false">
      <c r="A23" s="72" t="n">
        <v>21</v>
      </c>
      <c r="B23" s="73" t="str">
        <f aca="false">IFERROR(IF(COUNTA('Historia miesięczna'!$A$7:$A$54)&gt;=2,'Historia miesięczna'!A27,""),"")</f>
        <v/>
      </c>
      <c r="C23" s="74" t="str">
        <f aca="false">IFERROR(IF(COUNTA('Historia miesięczna'!$A$7:$A$54)&gt;=2,'Historia miesięczna'!B27,""),"")</f>
        <v/>
      </c>
      <c r="D23" s="74" t="str">
        <f aca="false">IFERROR(IF(COUNTA('Historia miesięczna'!$A$7:$A$54)&gt;=2,'Historia miesięczna'!D27,""),"")</f>
        <v/>
      </c>
      <c r="E23" s="74" t="str">
        <f aca="false">IFERROR(IF(COUNTA('Historia miesięczna'!$A$7:$A$54)&gt;=2,'Historia miesięczna'!C27,""),"")</f>
        <v/>
      </c>
      <c r="F23" s="75" t="str">
        <f aca="false">IFERROR(IF(COUNTA('Historia miesięczna'!$A$7:$A$54)&gt;=2,'Historia miesięczna'!E27,""),"")</f>
        <v/>
      </c>
      <c r="G23" s="75" t="str">
        <f aca="false">IFERROR(IF(COUNTA('Historia miesięczna'!$A$7:$A$54)&gt;=2,'Historia miesięczna'!F27,""),"")</f>
        <v/>
      </c>
      <c r="H23" s="75" t="str">
        <f aca="false">IFERROR(IF(COUNTA('Historia miesięczna'!$A$7:$A$54)&gt;=2,'Historia miesięczna'!G27,""),"")</f>
        <v/>
      </c>
      <c r="I23" s="76" t="str">
        <f aca="false">IFERROR(IF(COUNTA('Historia miesięczna'!$A$7:$A$54)&gt;=2,'Historia miesięczna'!I27,""),"")</f>
        <v/>
      </c>
    </row>
    <row r="24" customFormat="false" ht="13.5" hidden="false" customHeight="true" outlineLevel="0" collapsed="false">
      <c r="A24" s="77" t="n">
        <v>22</v>
      </c>
      <c r="B24" s="78" t="str">
        <f aca="false">IFERROR(IF(COUNTA('Historia miesięczna'!$A$7:$A$54)&gt;=2,'Historia miesięczna'!A28,""),"")</f>
        <v/>
      </c>
      <c r="C24" s="79" t="str">
        <f aca="false">IFERROR(IF(COUNTA('Historia miesięczna'!$A$7:$A$54)&gt;=2,'Historia miesięczna'!B28,""),"")</f>
        <v/>
      </c>
      <c r="D24" s="79" t="str">
        <f aca="false">IFERROR(IF(COUNTA('Historia miesięczna'!$A$7:$A$54)&gt;=2,'Historia miesięczna'!D28,""),"")</f>
        <v/>
      </c>
      <c r="E24" s="79" t="str">
        <f aca="false">IFERROR(IF(COUNTA('Historia miesięczna'!$A$7:$A$54)&gt;=2,'Historia miesięczna'!C28,""),"")</f>
        <v/>
      </c>
      <c r="F24" s="80" t="str">
        <f aca="false">IFERROR(IF(COUNTA('Historia miesięczna'!$A$7:$A$54)&gt;=2,'Historia miesięczna'!E28,""),"")</f>
        <v/>
      </c>
      <c r="G24" s="80" t="str">
        <f aca="false">IFERROR(IF(COUNTA('Historia miesięczna'!$A$7:$A$54)&gt;=2,'Historia miesięczna'!F28,""),"")</f>
        <v/>
      </c>
      <c r="H24" s="80" t="str">
        <f aca="false">IFERROR(IF(COUNTA('Historia miesięczna'!$A$7:$A$54)&gt;=2,'Historia miesięczna'!G28,""),"")</f>
        <v/>
      </c>
      <c r="I24" s="81" t="str">
        <f aca="false">IFERROR(IF(COUNTA('Historia miesięczna'!$A$7:$A$54)&gt;=2,'Historia miesięczna'!I28,""),"")</f>
        <v/>
      </c>
    </row>
    <row r="25" customFormat="false" ht="13.5" hidden="false" customHeight="true" outlineLevel="0" collapsed="false">
      <c r="A25" s="72" t="n">
        <v>23</v>
      </c>
      <c r="B25" s="73" t="str">
        <f aca="false">IFERROR(IF(COUNTA('Historia miesięczna'!$A$7:$A$54)&gt;=2,'Historia miesięczna'!A29,""),"")</f>
        <v/>
      </c>
      <c r="C25" s="74" t="str">
        <f aca="false">IFERROR(IF(COUNTA('Historia miesięczna'!$A$7:$A$54)&gt;=2,'Historia miesięczna'!B29,""),"")</f>
        <v/>
      </c>
      <c r="D25" s="74" t="str">
        <f aca="false">IFERROR(IF(COUNTA('Historia miesięczna'!$A$7:$A$54)&gt;=2,'Historia miesięczna'!D29,""),"")</f>
        <v/>
      </c>
      <c r="E25" s="74" t="str">
        <f aca="false">IFERROR(IF(COUNTA('Historia miesięczna'!$A$7:$A$54)&gt;=2,'Historia miesięczna'!C29,""),"")</f>
        <v/>
      </c>
      <c r="F25" s="75" t="str">
        <f aca="false">IFERROR(IF(COUNTA('Historia miesięczna'!$A$7:$A$54)&gt;=2,'Historia miesięczna'!E29,""),"")</f>
        <v/>
      </c>
      <c r="G25" s="75" t="str">
        <f aca="false">IFERROR(IF(COUNTA('Historia miesięczna'!$A$7:$A$54)&gt;=2,'Historia miesięczna'!F29,""),"")</f>
        <v/>
      </c>
      <c r="H25" s="75" t="str">
        <f aca="false">IFERROR(IF(COUNTA('Historia miesięczna'!$A$7:$A$54)&gt;=2,'Historia miesięczna'!G29,""),"")</f>
        <v/>
      </c>
      <c r="I25" s="76" t="str">
        <f aca="false">IFERROR(IF(COUNTA('Historia miesięczna'!$A$7:$A$54)&gt;=2,'Historia miesięczna'!I29,""),"")</f>
        <v/>
      </c>
    </row>
    <row r="26" customFormat="false" ht="13.5" hidden="false" customHeight="true" outlineLevel="0" collapsed="false">
      <c r="A26" s="77" t="n">
        <v>24</v>
      </c>
      <c r="B26" s="78" t="str">
        <f aca="false">IFERROR(IF(COUNTA('Historia miesięczna'!$A$7:$A$54)&gt;=2,'Historia miesięczna'!A30,""),"")</f>
        <v/>
      </c>
      <c r="C26" s="79" t="str">
        <f aca="false">IFERROR(IF(COUNTA('Historia miesięczna'!$A$7:$A$54)&gt;=2,'Historia miesięczna'!B30,""),"")</f>
        <v/>
      </c>
      <c r="D26" s="79" t="str">
        <f aca="false">IFERROR(IF(COUNTA('Historia miesięczna'!$A$7:$A$54)&gt;=2,'Historia miesięczna'!D30,""),"")</f>
        <v/>
      </c>
      <c r="E26" s="79" t="str">
        <f aca="false">IFERROR(IF(COUNTA('Historia miesięczna'!$A$7:$A$54)&gt;=2,'Historia miesięczna'!C30,""),"")</f>
        <v/>
      </c>
      <c r="F26" s="80" t="str">
        <f aca="false">IFERROR(IF(COUNTA('Historia miesięczna'!$A$7:$A$54)&gt;=2,'Historia miesięczna'!E30,""),"")</f>
        <v/>
      </c>
      <c r="G26" s="80" t="str">
        <f aca="false">IFERROR(IF(COUNTA('Historia miesięczna'!$A$7:$A$54)&gt;=2,'Historia miesięczna'!F30,""),"")</f>
        <v/>
      </c>
      <c r="H26" s="80" t="str">
        <f aca="false">IFERROR(IF(COUNTA('Historia miesięczna'!$A$7:$A$54)&gt;=2,'Historia miesięczna'!G30,""),"")</f>
        <v/>
      </c>
      <c r="I26" s="81" t="str">
        <f aca="false">IFERROR(IF(COUNTA('Historia miesięczna'!$A$7:$A$54)&gt;=2,'Historia miesięczna'!I30,""),"")</f>
        <v/>
      </c>
    </row>
    <row r="28" customFormat="false" ht="13.5" hidden="false" customHeight="true" outlineLevel="0" collapsed="false">
      <c r="A28" s="22" t="s">
        <v>169</v>
      </c>
      <c r="B28" s="22"/>
      <c r="C28" s="22"/>
      <c r="D28" s="22"/>
      <c r="E28" s="22"/>
      <c r="F28" s="22"/>
      <c r="G28" s="22"/>
      <c r="H28" s="22"/>
      <c r="I28" s="22"/>
    </row>
  </sheetData>
  <mergeCells count="1"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2026-06-24T18:30:34Z</dcterms:created>
  <dc:creator>openpyxl</dc:creator>
  <dc:description/>
  <dc:language>en-US</dc:language>
  <cp:lastModifiedBy/>
  <dcterms:modified xsi:type="dcterms:W3CDTF">2026-07-03T11:42:51Z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