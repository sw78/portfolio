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ne wejściowe" sheetId="1" state="visible" r:id="rId3"/>
    <sheet name="Obliczenia" sheetId="2" state="visible" r:id="rId4"/>
    <sheet name="Historia miesięczna" sheetId="3" state="visible" r:id="rId5"/>
    <sheet name="📊 Dashboard" sheetId="4" state="visible" r:id="rId6"/>
    <sheet name="Dane_Wykres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<sst xmlns="http://schemas.openxmlformats.org/spreadsheetml/2006/main" count="184" uniqueCount="162">
  <si>
    <t xml:space="preserve">⚡  KALKULATOR ROZLICZENIA PRĄDU  –  Rodzina A / Rodzina B</t>
  </si>
  <si>
    <t xml:space="preserve">Wypełniaj tylko pola niebieskie. Pola szare są obliczane automatycznie.</t>
  </si>
  <si>
    <t xml:space="preserve">  1 │ DANE Z FAKTURY</t>
  </si>
  <si>
    <t xml:space="preserve">Pozycja</t>
  </si>
  <si>
    <t xml:space="preserve">Wartość netto (zł)</t>
  </si>
  <si>
    <t xml:space="preserve">VAT (%)</t>
  </si>
  <si>
    <t xml:space="preserve">Kwota VAT (zł)</t>
  </si>
  <si>
    <t xml:space="preserve">Wartość brutto (zł)</t>
  </si>
  <si>
    <t xml:space="preserve">Energia elektryczna czynna (zmienna)</t>
  </si>
  <si>
    <t xml:space="preserve">Składnik zmienny stawki sieciowej</t>
  </si>
  <si>
    <t xml:space="preserve">Stawka jakościowa</t>
  </si>
  <si>
    <t xml:space="preserve">Opłata OZE</t>
  </si>
  <si>
    <t xml:space="preserve">Opłata kogeneracyjna</t>
  </si>
  <si>
    <t xml:space="preserve">Opłata Handlowa (stała)</t>
  </si>
  <si>
    <t xml:space="preserve">Opłata mocowa (stała)</t>
  </si>
  <si>
    <t xml:space="preserve">Abonament / stawka opłaty abonamentowej</t>
  </si>
  <si>
    <t xml:space="preserve">Składnik stały stawki sieciowej</t>
  </si>
  <si>
    <t xml:space="preserve">Stawka opłaty przejściowej</t>
  </si>
  <si>
    <t xml:space="preserve">RAZEM FAKTURA</t>
  </si>
  <si>
    <t xml:space="preserve">  2 │ GŁÓWNY LICZNIK (odczyt ze zlecenia)</t>
  </si>
  <si>
    <t xml:space="preserve">Okres rozliczeniowy – OD</t>
  </si>
  <si>
    <t xml:space="preserve">Okres rozliczeniowy – DO</t>
  </si>
  <si>
    <t xml:space="preserve">Liczba dni okresu (obliczona)</t>
  </si>
  <si>
    <t xml:space="preserve">Łączne zużycie wg faktury (kWh)</t>
  </si>
  <si>
    <t xml:space="preserve">⚙️  Pierwszy miesiąc – wyłącz korektę proporcjonalną?</t>
  </si>
  <si>
    <t xml:space="preserve">NIE</t>
  </si>
  <si>
    <t xml:space="preserve">← wybierz "TAK" tylko dla pierwszego okresu (brak wcześniejszego, zsynchronizowanego odczytu)</t>
  </si>
  <si>
    <t xml:space="preserve">  3 │ PODLICZNIK – RODZINA B</t>
  </si>
  <si>
    <t xml:space="preserve">Pole</t>
  </si>
  <si>
    <t xml:space="preserve">Odczyt / Data</t>
  </si>
  <si>
    <t xml:space="preserve">Komentarz</t>
  </si>
  <si>
    <t xml:space="preserve">Data odczytu POPRZEDNIEGO</t>
  </si>
  <si>
    <t xml:space="preserve">← powinna pokrywać się z początkiem okresu faktury</t>
  </si>
  <si>
    <t xml:space="preserve">Stan licznika POPRZEDNIEGO (kWh)</t>
  </si>
  <si>
    <t xml:space="preserve">Data odczytu BIEŻĄCEGO</t>
  </si>
  <si>
    <t xml:space="preserve">← powinna pokrywać się z końcem okresu faktury</t>
  </si>
  <si>
    <t xml:space="preserve">Stan licznika BIEŻĄCEGO (kWh)</t>
  </si>
  <si>
    <t xml:space="preserve">Liczba dni pomiaru B</t>
  </si>
  <si>
    <t xml:space="preserve">Zużycie zmierzone B (kWh)</t>
  </si>
  <si>
    <t xml:space="preserve">Korekta proporcjonalna B (do okresu faktury)</t>
  </si>
  <si>
    <t xml:space="preserve">← jeśli daty B nie pokrywają się idealnie z fakturą, zużycie jest proporcjonalnie przeliczane</t>
  </si>
  <si>
    <t xml:space="preserve">  4 │ PODLICZNIK – PIEC / BOJLER (wspólny, dzielony 50/50)</t>
  </si>
  <si>
    <t xml:space="preserve">Liczba dni pomiaru bojlera</t>
  </si>
  <si>
    <t xml:space="preserve">Zużycie zmierzone bojler (kWh)</t>
  </si>
  <si>
    <t xml:space="preserve">Korekta proporcjonalna bojler (do okresu faktury)</t>
  </si>
  <si>
    <t xml:space="preserve">← proporcjonalne przeliczenie analogicznie jak dla B</t>
  </si>
  <si>
    <t xml:space="preserve">  LEGENDA / INSTRUKCJA WYPEŁNIANIA</t>
  </si>
  <si>
    <t xml:space="preserve">🔵 Komórki niebieskie</t>
  </si>
  <si>
    <t xml:space="preserve">Dane do wpisania ręcznie (z faktury lub odczytu licznika)</t>
  </si>
  <si>
    <t xml:space="preserve">⬛ Komórki szare</t>
  </si>
  <si>
    <t xml:space="preserve">Obliczenia automatyczne – nie edytuj</t>
  </si>
  <si>
    <t xml:space="preserve">🟢 Komórki zielone</t>
  </si>
  <si>
    <t xml:space="preserve">Wynik końcowy (kwota do zapłaty)</t>
  </si>
  <si>
    <t xml:space="preserve">📅 Daty</t>
  </si>
  <si>
    <t xml:space="preserve">Wpisuj w formacie DD.MM.RRRR</t>
  </si>
  <si>
    <t xml:space="preserve">⚠️ Korekta proporcjonalna</t>
  </si>
  <si>
    <t xml:space="preserve">Jeśli daty podlicznika różnią się od okresu faktury, model automatycznie przelicza
zużycie proporcjonalnie do liczby dni. Arkusz "Obliczenia" → sekcja E pokazuje ostrzeżenia.</t>
  </si>
  <si>
    <t xml:space="preserve">📋 Arkusz "Historia"</t>
  </si>
  <si>
    <t xml:space="preserve">Po każdym miesiącu wpisz wyniki do historii, aby śledzić trendy.</t>
  </si>
  <si>
    <t xml:space="preserve">⚡  OBLICZENIA PODZIAŁU KOSZTÓW</t>
  </si>
  <si>
    <t xml:space="preserve">  A │ ZUŻYCIA kWh</t>
  </si>
  <si>
    <t xml:space="preserve">Składnik</t>
  </si>
  <si>
    <t xml:space="preserve">kWh</t>
  </si>
  <si>
    <t xml:space="preserve">Uwagi</t>
  </si>
  <si>
    <t xml:space="preserve">Łącznie wg faktury</t>
  </si>
  <si>
    <t xml:space="preserve">Rodzina B – zmierzone (skorygowane)</t>
  </si>
  <si>
    <t xml:space="preserve">Piec/Bojler – zmierzone (skorygowane)</t>
  </si>
  <si>
    <t xml:space="preserve">Rodzina A – własne (obliczone)</t>
  </si>
  <si>
    <t xml:space="preserve">Reszta po odjęciu B i bojlera</t>
  </si>
  <si>
    <t xml:space="preserve">Piec/Bojler – udział A (50%)</t>
  </si>
  <si>
    <t xml:space="preserve">50% bojlera</t>
  </si>
  <si>
    <t xml:space="preserve">Piec/Bojler – udział B (50%)</t>
  </si>
  <si>
    <t xml:space="preserve">RAZEM Rodzina A (własne + bojler 50%)</t>
  </si>
  <si>
    <t xml:space="preserve">RAZEM Rodzina B (własne + bojler 50%)</t>
  </si>
  <si>
    <t xml:space="preserve">Kontrola (A+B powinno = łącznie)</t>
  </si>
  <si>
    <t xml:space="preserve">Powinno równać się wierszowi "Łącznie wg faktury"</t>
  </si>
  <si>
    <t xml:space="preserve">  B │ STAWKI</t>
  </si>
  <si>
    <t xml:space="preserve">Stawka</t>
  </si>
  <si>
    <t xml:space="preserve">Wartość</t>
  </si>
  <si>
    <t xml:space="preserve">Opis</t>
  </si>
  <si>
    <t xml:space="preserve">Stawka zmienna NETTO (zł/kWh)</t>
  </si>
  <si>
    <t xml:space="preserve">Stawka zmienna BRUTTO (zł/kWh)</t>
  </si>
  <si>
    <t xml:space="preserve">Koszty stałe BRUTTO łącznie (zł)</t>
  </si>
  <si>
    <t xml:space="preserve">Koszty stałe BRUTTO na rodzinę (zł / 2)</t>
  </si>
  <si>
    <t xml:space="preserve">  C │ WYNIK KOŃCOWY</t>
  </si>
  <si>
    <t xml:space="preserve">Składnik kosztu</t>
  </si>
  <si>
    <t xml:space="preserve">Rodzina A (zł)</t>
  </si>
  <si>
    <t xml:space="preserve">Rodzina B (zł)</t>
  </si>
  <si>
    <t xml:space="preserve">Koszty zmienne (zużycie × stawka brutto)</t>
  </si>
  <si>
    <t xml:space="preserve">Koszty stałe (50% / 50%)</t>
  </si>
  <si>
    <t xml:space="preserve">DO ZAPŁATY</t>
  </si>
  <si>
    <t xml:space="preserve">Kontrola (A+B = suma faktury)</t>
  </si>
  <si>
    <t xml:space="preserve">  D │ SZCZEGÓŁY PODZIAŁU kWh</t>
  </si>
  <si>
    <t xml:space="preserve">Rodzina A</t>
  </si>
  <si>
    <t xml:space="preserve">Rodzina B</t>
  </si>
  <si>
    <t xml:space="preserve">Razem</t>
  </si>
  <si>
    <t xml:space="preserve">Zużycie własne</t>
  </si>
  <si>
    <t xml:space="preserve">Udział w bojlerze (50%)</t>
  </si>
  <si>
    <t xml:space="preserve">RAZEM</t>
  </si>
  <si>
    <t xml:space="preserve">  E │ OSTRZEŻENIA O SYNCHRONIZACJI DAT</t>
  </si>
  <si>
    <t xml:space="preserve">Licznik B – data OD vs faktura OD</t>
  </si>
  <si>
    <t xml:space="preserve">Licznik B – data DO vs faktura DO</t>
  </si>
  <si>
    <t xml:space="preserve">Bojler – data OD vs faktura OD</t>
  </si>
  <si>
    <t xml:space="preserve">Bojler – data DO vs faktura DO</t>
  </si>
  <si>
    <t xml:space="preserve">📅  HISTORIA MIESIĘCZNA ROZLICZEŃ</t>
  </si>
  <si>
    <t xml:space="preserve">Wiersz "Bieżący miesiąc" aktualizuje się automatycznie. Po zakończeniu okresu skopiuj go jako wartości do archiwum (wiersz 8+), a następnie wprowadź dane nowego miesiąca w arkuszu "Dane wejściowe".</t>
  </si>
  <si>
    <t xml:space="preserve">Miesiąc
(faktura DO)</t>
  </si>
  <si>
    <t xml:space="preserve">kWh
faktura</t>
  </si>
  <si>
    <t xml:space="preserve">kWh
Rodz. B</t>
  </si>
  <si>
    <t xml:space="preserve">kWh
bojler</t>
  </si>
  <si>
    <t xml:space="preserve">kWh
Rodz. A</t>
  </si>
  <si>
    <t xml:space="preserve">Faktura
BRUTTO (zł)</t>
  </si>
  <si>
    <t xml:space="preserve">Do zapłaty
Rodz. A (zł)</t>
  </si>
  <si>
    <t xml:space="preserve">Do zapłaty
Rodz. B (zł)</t>
  </si>
  <si>
    <t xml:space="preserve">Kontrola
A+B (zł)</t>
  </si>
  <si>
    <t xml:space="preserve">kWh A
(z bojlerem)</t>
  </si>
  <si>
    <t xml:space="preserve">kWh B
(z bojlerem)</t>
  </si>
  <si>
    <t xml:space="preserve">Stawka
zł/kWh brutto</t>
  </si>
  <si>
    <t xml:space="preserve">Koszty
stałe (zł)</t>
  </si>
  <si>
    <t xml:space="preserve">🔄  BIEŻĄCY MIESIĄC (aktualizuje się automatycznie z arkusza Obliczenia)</t>
  </si>
  <si>
    <t xml:space="preserve">📋  ARCHIWUM  –  aby zapisać bieżący miesiąc: zaznacz wiersz 6 → Kopiuj → kliknij pierwszy pusty wiersz poniżej → Wklej specjalnie → Tylko wartości</t>
  </si>
  <si>
    <t xml:space="preserve">⚡  DASHBOARD ROZLICZENIA PRĄDU  –  Rodzina A / Rodzina B</t>
  </si>
  <si>
    <t xml:space="preserve">🔄 Dane aktualizują się automatycznie z arkuszy "Obliczenia" i "Historia miesięczna"   | Liczba miesięcy w wykresach: zmień w arkuszu "Dane_Wykres" komórka B1</t>
  </si>
  <si>
    <t xml:space="preserve">BIEŻĄCA FAKTURA</t>
  </si>
  <si>
    <t xml:space="preserve">RODZINA A – płaci</t>
  </si>
  <si>
    <t xml:space="preserve">RODZINA B – płaci</t>
  </si>
  <si>
    <t xml:space="preserve">ŁĄCZNIE kWh</t>
  </si>
  <si>
    <t xml:space="preserve">STAWKA zł/kWh brutto</t>
  </si>
  <si>
    <t xml:space="preserve">bieżący okres</t>
  </si>
  <si>
    <t xml:space="preserve">bieżący miesiąc</t>
  </si>
  <si>
    <t xml:space="preserve">  📊 Koszty miesięczne – Rodzina A vs B</t>
  </si>
  <si>
    <t xml:space="preserve">  📊 Zużycie kWh – podział miesięczny</t>
  </si>
  <si>
    <t xml:space="preserve">  📊 Trend stawki jednostkowej (zł/kWh brutto)</t>
  </si>
  <si>
    <t xml:space="preserve">  📊 Porównanie udziału kosztów A vs B (%)</t>
  </si>
  <si>
    <t xml:space="preserve">  📋 Bieżący miesiąc – szczegółowy podział</t>
  </si>
  <si>
    <t xml:space="preserve">Udział %</t>
  </si>
  <si>
    <t xml:space="preserve">Koszt (zł)</t>
  </si>
  <si>
    <t xml:space="preserve">Bojler/Piec</t>
  </si>
  <si>
    <t xml:space="preserve">100%</t>
  </si>
  <si>
    <t xml:space="preserve">  📋 Statystyki historyczne (archiwum)</t>
  </si>
  <si>
    <t xml:space="preserve">Wskaźnik</t>
  </si>
  <si>
    <t xml:space="preserve">Średnia płatność (zł)</t>
  </si>
  <si>
    <t xml:space="preserve">z dostępnych miesięcy w archiwum</t>
  </si>
  <si>
    <t xml:space="preserve">Maks. płatność (zł)</t>
  </si>
  <si>
    <t xml:space="preserve">Min. płatność (zł)</t>
  </si>
  <si>
    <t xml:space="preserve">Łączne zużycie kWh (suma)</t>
  </si>
  <si>
    <t xml:space="preserve">A i B = z udziałem w bojlerze</t>
  </si>
  <si>
    <t xml:space="preserve">Śr. miesięczne kWh</t>
  </si>
  <si>
    <t xml:space="preserve">Łączna suma zapłacona (zł)</t>
  </si>
  <si>
    <t xml:space="preserve">suma wszystkich archiwizowanych miesięcy</t>
  </si>
  <si>
    <t xml:space="preserve">Liczba zarchiwizowanych miesięcy</t>
  </si>
  <si>
    <t xml:space="preserve">Pokaż ostatnie N miesięcy (Dashboard):</t>
  </si>
  <si>
    <t xml:space="preserve">#</t>
  </si>
  <si>
    <t xml:space="preserve">Miesiąc</t>
  </si>
  <si>
    <t xml:space="preserve">kWh Razem</t>
  </si>
  <si>
    <t xml:space="preserve">kWh A</t>
  </si>
  <si>
    <t xml:space="preserve">kWh B</t>
  </si>
  <si>
    <t xml:space="preserve">kWh Bojler</t>
  </si>
  <si>
    <t xml:space="preserve">Faktura (zł)</t>
  </si>
  <si>
    <t xml:space="preserve">Koszt A (zł)</t>
  </si>
  <si>
    <t xml:space="preserve">Koszt B (zł)</t>
  </si>
  <si>
    <t xml:space="preserve">Stawka zł/kWh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</si>
</sst>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.00&quot; zł&quot;"/>
    <numFmt numFmtId="166" formatCode="0\%"/>
    <numFmt numFmtId="167" formatCode="m/d/yyyy"/>
    <numFmt numFmtId="168" formatCode="dd\.mm\.yyyy"/>
    <numFmt numFmtId="169" formatCode="0&quot; dni&quot;"/>
    <numFmt numFmtId="170" formatCode="#,##0.00&quot; kWh&quot;"/>
    <numFmt numFmtId="171" formatCode="#,##0.00000&quot; zł/kWh&quot;"/>
    <numFmt numFmtId="172" formatCode="#,##0.00&quot; kWh&quot;"/>
    <numFmt numFmtId="173" formatCode="#,##0.00000&quot; zł/kWh&quot;"/>
    <numFmt numFmtId="174" formatCode="#,##0.00&quot; zł&quot;"/>
    <numFmt numFmtId="175" formatCode="mmm\ yyyy"/>
    <numFmt numFmtId="176" formatCode="General"/>
    <numFmt numFmtId="177" formatCode="#,##0.0000&quot; zł&quot;"/>
    <numFmt numFmtId="178" formatCode="0.0\%"/>
    <numFmt numFmtId="179" formatCode="0"/>
    <numFmt numFmtId="180" formatCode="mmm\ yy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238"/>
    </font>
    <font>
      <sz val="9"/>
      <color rgb="FF595959"/>
      <name val="Arial"/>
      <family val="2"/>
      <charset val="238"/>
    </font>
    <font>
      <b val="true"/>
      <sz val="10"/>
      <color rgb="FFFFFFFF"/>
      <name val="Arial"/>
      <family val="2"/>
      <charset val="238"/>
    </font>
    <font>
      <b val="true"/>
      <sz val="10"/>
      <name val="Arial"/>
      <family val="2"/>
      <charset val="238"/>
    </font>
    <font>
      <sz val="10"/>
      <color rgb="FF0000FF"/>
      <name val="Arial"/>
      <family val="2"/>
      <charset val="238"/>
    </font>
    <font>
      <sz val="10"/>
      <color rgb="FF000000"/>
      <name val="Arial"/>
      <family val="2"/>
      <charset val="238"/>
    </font>
    <font>
      <b val="true"/>
      <sz val="10"/>
      <color rgb="FF0000FF"/>
      <name val="Arial"/>
      <family val="2"/>
      <charset val="238"/>
    </font>
    <font>
      <b val="true"/>
      <sz val="10"/>
      <color rgb="FF1F4E79"/>
      <name val="Arial"/>
      <family val="2"/>
      <charset val="238"/>
    </font>
    <font>
      <b val="true"/>
      <sz val="9"/>
      <color rgb="FFFFFFFF"/>
      <name val="Arial"/>
      <family val="2"/>
      <charset val="238"/>
    </font>
    <font>
      <b val="true"/>
      <sz val="16"/>
      <color rgb="FFFFFFFF"/>
      <name val="Arial"/>
      <family val="2"/>
      <charset val="238"/>
    </font>
    <font>
      <i val="true"/>
      <sz val="9"/>
      <color rgb="FF595959"/>
      <name val="Arial"/>
      <family val="2"/>
      <charset val="238"/>
    </font>
    <font>
      <b val="true"/>
      <sz val="9"/>
      <color rgb="FF000000"/>
      <name val="Arial"/>
      <family val="2"/>
      <charset val="238"/>
    </font>
    <font>
      <b val="true"/>
      <sz val="20"/>
      <color rgb="FFFFFFFF"/>
      <name val="Arial"/>
      <family val="2"/>
      <charset val="238"/>
    </font>
    <font>
      <b val="true"/>
      <sz val="20"/>
      <color rgb="FF000000"/>
      <name val="Arial"/>
      <family val="2"/>
      <charset val="238"/>
    </font>
    <font>
      <i val="true"/>
      <sz val="8"/>
      <color rgb="FFFFFFFF"/>
      <name val="Arial"/>
      <family val="2"/>
      <charset val="238"/>
    </font>
    <font>
      <i val="true"/>
      <sz val="8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b val="true"/>
      <sz val="9"/>
      <color rgb="FF1F4E79"/>
      <name val="Arial"/>
      <family val="2"/>
      <charset val="238"/>
    </font>
    <font>
      <i val="true"/>
      <sz val="8"/>
      <color rgb="FF595959"/>
      <name val="Arial"/>
      <family val="2"/>
      <charset val="238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2"/>
      <charset val="238"/>
    </font>
    <font>
      <b val="true"/>
      <sz val="12"/>
      <color rgb="FF0000FF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70AD47"/>
        <bgColor rgb="FF99CC00"/>
      </patternFill>
    </fill>
    <fill>
      <patternFill patternType="solid">
        <fgColor rgb="FFED7D31"/>
        <bgColor rgb="FFFF8080"/>
      </patternFill>
    </fill>
    <fill>
      <patternFill patternType="solid">
        <fgColor rgb="FFA9D18E"/>
        <bgColor rgb="FFBFBFBF"/>
      </patternFill>
    </fill>
    <fill>
      <patternFill patternType="solid">
        <fgColor rgb="FFBDD7EE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/>
      <right style="thin">
        <color rgb="FFBFBFBF"/>
      </right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7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2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2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0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20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0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2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2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D9E1F2"/>
      <rgbColor rgb="FFA9D18E"/>
      <rgbColor rgb="FFFF99CC"/>
      <rgbColor rgb="FFCC99FF"/>
      <rgbColor rgb="FFD9D9D9"/>
      <rgbColor rgb="FF2E75B6"/>
      <rgbColor rgb="FF33CCCC"/>
      <rgbColor rgb="FF99CC00"/>
      <rgbColor rgb="FFFFCC00"/>
      <rgbColor rgb="FFFF9900"/>
      <rgbColor rgb="FFED7D31"/>
      <rgbColor rgb="FF595959"/>
      <rgbColor rgb="FFB3B3B3"/>
      <rgbColor rgb="FF003366"/>
      <rgbColor rgb="FF70AD47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l-PL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pl-PL" sz="1800" spc="-1" strike="noStrike">
                <a:solidFill>
                  <a:srgbClr val="000000"/>
                </a:solidFill>
                <a:latin typeface="Calibri"/>
              </a:rPr>
              <a:t>Koszty miesięczne – Rodzina A vs 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Dane_Wykres!$H$3</c:f>
              <c:strCache>
                <c:ptCount val="1"/>
                <c:pt idx="0">
                  <c:v>Koszt A (zł)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Dane_Wykres!$B$4:$B$27</c:f>
              <c:numCache>
                <c:formatCode>mmm\ yy</c:formatCode>
                <c:ptCount val="24"/>
                <c:pt idx="0">
                  <c:v>Dec 25</c:v>
                </c:pt>
                <c:pt idx="1">
                  <c:v>Jan 26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cat>
          <c:val>
            <c:numRef>
              <c:f>Dane_Wykres!$H$4:$H$27</c:f>
              <c:numCache>
                <c:formatCode>#,##0.00" zł"</c:formatCode>
                <c:ptCount val="24"/>
                <c:pt idx="0">
                  <c:v>268.17</c:v>
                </c:pt>
                <c:pt idx="1">
                  <c:v>268.07</c:v>
                </c:pt>
              </c:numCache>
            </c:numRef>
          </c:val>
        </c:ser>
        <c:ser>
          <c:idx val="1"/>
          <c:order val="1"/>
          <c:tx>
            <c:strRef>
              <c:f>Dane_Wykres!$I$3</c:f>
              <c:strCache>
                <c:ptCount val="1"/>
                <c:pt idx="0">
                  <c:v>Koszt B (zł)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Dane_Wykres!$B$4:$B$27</c:f>
              <c:numCache>
                <c:formatCode>mmm\ yy</c:formatCode>
                <c:ptCount val="24"/>
                <c:pt idx="0">
                  <c:v>Dec 25</c:v>
                </c:pt>
                <c:pt idx="1">
                  <c:v>Jan 26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cat>
          <c:val>
            <c:numRef>
              <c:f>Dane_Wykres!$I$4:$I$27</c:f>
              <c:numCache>
                <c:formatCode>#,##0.00" zł"</c:formatCode>
                <c:ptCount val="24"/>
                <c:pt idx="0">
                  <c:v>181.97</c:v>
                </c:pt>
                <c:pt idx="1">
                  <c:v>212.93</c:v>
                </c:pt>
              </c:numCache>
            </c:numRef>
          </c:val>
        </c:ser>
        <c:gapWidth val="150"/>
        <c:overlap val="-10"/>
        <c:axId val="54795600"/>
        <c:axId val="84203431"/>
      </c:barChart>
      <c:dateAx>
        <c:axId val="54795600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b="1" lang="pl-PL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l-PL" sz="1000" spc="-1" strike="noStrike">
                    <a:solidFill>
                      <a:srgbClr val="000000"/>
                    </a:solidFill>
                    <a:latin typeface="Calibri"/>
                  </a:rPr>
                  <a:t>Miesiąc</a:t>
                </a:r>
              </a:p>
            </c:rich>
          </c:tx>
          <c:layout>
            <c:manualLayout>
              <c:xMode val="edge"/>
              <c:yMode val="edge"/>
              <c:x val="0.068308105000958"/>
              <c:y val="0.915257608911876"/>
            </c:manualLayout>
          </c:layout>
          <c:overlay val="0"/>
          <c:spPr>
            <a:noFill/>
            <a:ln w="0">
              <a:noFill/>
            </a:ln>
          </c:spPr>
        </c:title>
        <c:numFmt formatCode="mmm\ 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03431"/>
        <c:auto val="1"/>
        <c:lblOffset val="100"/>
        <c:baseTimeUnit val="days"/>
        <c:noMultiLvlLbl val="0"/>
      </c:dateAx>
      <c:valAx>
        <c:axId val="84203431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pl-PL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l-PL" sz="1000" spc="-1" strike="noStrike">
                    <a:solidFill>
                      <a:srgbClr val="000000"/>
                    </a:solidFill>
                    <a:latin typeface="Calibri"/>
                  </a:rPr>
                  <a:t>zł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zł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95600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796488095238095"/>
          <c:y val="0.560970183436212"/>
          <c:w val="0.190694246031746"/>
          <c:h val="0.329503009259259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l-PL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pl-PL" sz="1800" spc="-1" strike="noStrike">
                <a:solidFill>
                  <a:srgbClr val="000000"/>
                </a:solidFill>
                <a:latin typeface="Calibri"/>
              </a:rPr>
              <a:t>Zużycie kWh – podział miesięczny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Dane_Wykres!$D$3</c:f>
              <c:strCache>
                <c:ptCount val="1"/>
                <c:pt idx="0">
                  <c:v>kWh A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Dane_Wykres!$B$4:$B$27</c:f>
              <c:numCache>
                <c:formatCode>mmm\ yy</c:formatCode>
                <c:ptCount val="24"/>
                <c:pt idx="0">
                  <c:v>Dec 25</c:v>
                </c:pt>
                <c:pt idx="1">
                  <c:v>Jan 26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cat>
          <c:val>
            <c:numRef>
              <c:f>Dane_Wykres!$D$4:$D$27</c:f>
              <c:numCache>
                <c:formatCode>#,##0.00" kWh"</c:formatCode>
                <c:ptCount val="24"/>
                <c:pt idx="0">
                  <c:v>178</c:v>
                </c:pt>
                <c:pt idx="1">
                  <c:v>144.12</c:v>
                </c:pt>
              </c:numCache>
            </c:numRef>
          </c:val>
        </c:ser>
        <c:ser>
          <c:idx val="1"/>
          <c:order val="1"/>
          <c:tx>
            <c:strRef>
              <c:f>Dane_Wykres!$E$3</c:f>
              <c:strCache>
                <c:ptCount val="1"/>
                <c:pt idx="0">
                  <c:v>kWh B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Dane_Wykres!$B$4:$B$27</c:f>
              <c:numCache>
                <c:formatCode>mmm\ yy</c:formatCode>
                <c:ptCount val="24"/>
                <c:pt idx="0">
                  <c:v>Dec 25</c:v>
                </c:pt>
                <c:pt idx="1">
                  <c:v>Jan 26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cat>
          <c:val>
            <c:numRef>
              <c:f>Dane_Wykres!$E$4:$E$27</c:f>
              <c:numCache>
                <c:formatCode>#,##0.00" kWh"</c:formatCode>
                <c:ptCount val="24"/>
                <c:pt idx="0">
                  <c:v>76</c:v>
                </c:pt>
                <c:pt idx="1">
                  <c:v>80</c:v>
                </c:pt>
              </c:numCache>
            </c:numRef>
          </c:val>
        </c:ser>
        <c:ser>
          <c:idx val="2"/>
          <c:order val="2"/>
          <c:tx>
            <c:strRef>
              <c:f>Dane_Wykres!$F$3</c:f>
              <c:strCache>
                <c:ptCount val="1"/>
                <c:pt idx="0">
                  <c:v>kWh Bojler</c:v>
                </c:pt>
              </c:strCache>
            </c:strRef>
          </c:tx>
          <c:spPr>
            <a:solidFill>
              <a:srgbClr val="bdd7e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Dane_Wykres!$B$4:$B$27</c:f>
              <c:numCache>
                <c:formatCode>mmm\ yy</c:formatCode>
                <c:ptCount val="24"/>
                <c:pt idx="0">
                  <c:v>Dec 25</c:v>
                </c:pt>
                <c:pt idx="1">
                  <c:v>Jan 26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cat>
          <c:val>
            <c:numRef>
              <c:f>Dane_Wykres!$F$4:$F$27</c:f>
              <c:numCache>
                <c:formatCode>#,##0.00" kWh"</c:formatCode>
                <c:ptCount val="24"/>
                <c:pt idx="0">
                  <c:v>198</c:v>
                </c:pt>
                <c:pt idx="1">
                  <c:v>255.88</c:v>
                </c:pt>
              </c:numCache>
            </c:numRef>
          </c:val>
        </c:ser>
        <c:gapWidth val="150"/>
        <c:overlap val="100"/>
        <c:axId val="86101673"/>
        <c:axId val="51632473"/>
      </c:barChart>
      <c:dateAx>
        <c:axId val="86101673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b="1" lang="pl-PL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l-PL" sz="1000" spc="-1" strike="noStrike">
                    <a:solidFill>
                      <a:srgbClr val="000000"/>
                    </a:solidFill>
                    <a:latin typeface="Calibri"/>
                  </a:rPr>
                  <a:t>Miesiąc</a:t>
                </a:r>
              </a:p>
            </c:rich>
          </c:tx>
          <c:layout>
            <c:manualLayout>
              <c:xMode val="edge"/>
              <c:yMode val="edge"/>
              <c:x val="0.137368366176624"/>
              <c:y val="0.917231751096929"/>
            </c:manualLayout>
          </c:layout>
          <c:overlay val="0"/>
          <c:spPr>
            <a:noFill/>
            <a:ln w="0">
              <a:noFill/>
            </a:ln>
          </c:spPr>
        </c:title>
        <c:numFmt formatCode="mmm\ 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32473"/>
        <c:auto val="1"/>
        <c:lblOffset val="100"/>
        <c:baseTimeUnit val="days"/>
        <c:noMultiLvlLbl val="0"/>
      </c:dateAx>
      <c:valAx>
        <c:axId val="51632473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pl-PL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l-PL" sz="1000" spc="-1" strike="noStrike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kWh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01673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727931150793651"/>
          <c:y val="0.419346507306421"/>
          <c:w val="0.206855952380952"/>
          <c:h val="0.529230168542982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l-PL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pl-PL" sz="1800" spc="-1" strike="noStrike">
                <a:solidFill>
                  <a:srgbClr val="000000"/>
                </a:solidFill>
                <a:latin typeface="Calibri"/>
              </a:rPr>
              <a:t>Trend stawki jednostkowej (zł/kWh brutto)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Dane_Wykres!$J$3</c:f>
              <c:strCache>
                <c:ptCount val="1"/>
                <c:pt idx="0">
                  <c:v>Stawka zł/kWh</c:v>
                </c:pt>
              </c:strCache>
            </c:strRef>
          </c:tx>
          <c:spPr>
            <a:solidFill>
              <a:srgbClr val="1f4e79"/>
            </a:solidFill>
            <a:ln w="24840">
              <a:solidFill>
                <a:srgbClr val="1f4e79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"/>
            <c:spPr>
              <a:solidFill>
                <a:srgbClr val="000000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Dane_Wykres!$B$4:$B$27</c:f>
              <c:numCache>
                <c:formatCode>mmm\ yy</c:formatCode>
                <c:ptCount val="24"/>
                <c:pt idx="0">
                  <c:v>Dec 25</c:v>
                </c:pt>
                <c:pt idx="1">
                  <c:v>Jan 26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cat>
          <c:val>
            <c:numRef>
              <c:f>Dane_Wykres!$J$4:$J$27</c:f>
              <c:numCache>
                <c:formatCode>#,##0.00000" zł/kWh"</c:formatCode>
                <c:ptCount val="24"/>
                <c:pt idx="0">
                  <c:v>243.74</c:v>
                </c:pt>
                <c:pt idx="1">
                  <c:v>257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619385"/>
        <c:axId val="28492805"/>
      </c:lineChart>
      <c:dateAx>
        <c:axId val="70619385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b="1" lang="pl-PL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l-PL" sz="1000" spc="-1" strike="noStrike">
                    <a:solidFill>
                      <a:srgbClr val="000000"/>
                    </a:solidFill>
                    <a:latin typeface="Calibri"/>
                  </a:rPr>
                  <a:t>Miesiąc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92805"/>
        <c:auto val="1"/>
        <c:lblOffset val="100"/>
        <c:baseTimeUnit val="days"/>
        <c:noMultiLvlLbl val="0"/>
      </c:dateAx>
      <c:valAx>
        <c:axId val="28492805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pl-PL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l-PL" sz="1000" spc="-1" strike="noStrike">
                    <a:solidFill>
                      <a:srgbClr val="000000"/>
                    </a:solidFill>
                    <a:latin typeface="Calibri"/>
                  </a:rPr>
                  <a:t>zł/kWh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00&quot; zł/kWh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19385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l-PL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pl-PL" sz="1800" spc="-1" strike="noStrike">
                <a:solidFill>
                  <a:srgbClr val="000000"/>
                </a:solidFill>
                <a:latin typeface="Calibri"/>
              </a:rPr>
              <a:t>Udział % w kosztach – Rodzina A vs B</a:t>
            </a:r>
          </a:p>
        </c:rich>
      </c:tx>
      <c:layout>
        <c:manualLayout>
          <c:xMode val="edge"/>
          <c:yMode val="edge"/>
          <c:x val="0.3145"/>
          <c:y val="0.0108573184471986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54285714285714"/>
          <c:y val="0.0646317730205879"/>
          <c:w val="0.9445"/>
          <c:h val="0.935265799446891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Dane_Wykres!$H$3</c:f>
              <c:strCache>
                <c:ptCount val="1"/>
                <c:pt idx="0">
                  <c:v>Koszt A (zł)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Dane_Wykres!$B$4:$B$27</c:f>
              <c:numCache>
                <c:formatCode>mmm\ yy</c:formatCode>
                <c:ptCount val="24"/>
                <c:pt idx="0">
                  <c:v>Dec 25</c:v>
                </c:pt>
                <c:pt idx="1">
                  <c:v>Jan 26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cat>
          <c:val>
            <c:numRef>
              <c:f>Dane_Wykres!$H$4:$H$27</c:f>
              <c:numCache>
                <c:formatCode>#,##0.00" zł"</c:formatCode>
                <c:ptCount val="24"/>
                <c:pt idx="0">
                  <c:v>268.17</c:v>
                </c:pt>
                <c:pt idx="1">
                  <c:v>268.07</c:v>
                </c:pt>
              </c:numCache>
            </c:numRef>
          </c:val>
        </c:ser>
        <c:ser>
          <c:idx val="1"/>
          <c:order val="1"/>
          <c:tx>
            <c:strRef>
              <c:f>Dane_Wykres!$I$3</c:f>
              <c:strCache>
                <c:ptCount val="1"/>
                <c:pt idx="0">
                  <c:v>Koszt B (zł)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Dane_Wykres!$B$4:$B$27</c:f>
              <c:numCache>
                <c:formatCode>mmm\ yy</c:formatCode>
                <c:ptCount val="24"/>
                <c:pt idx="0">
                  <c:v>Dec 25</c:v>
                </c:pt>
                <c:pt idx="1">
                  <c:v>Jan 26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numCache>
            </c:numRef>
          </c:cat>
          <c:val>
            <c:numRef>
              <c:f>Dane_Wykres!$I$4:$I$27</c:f>
              <c:numCache>
                <c:formatCode>#,##0.00" zł"</c:formatCode>
                <c:ptCount val="24"/>
                <c:pt idx="0">
                  <c:v>181.97</c:v>
                </c:pt>
                <c:pt idx="1">
                  <c:v>212.93</c:v>
                </c:pt>
              </c:numCache>
            </c:numRef>
          </c:val>
        </c:ser>
        <c:gapWidth val="150"/>
        <c:overlap val="100"/>
        <c:axId val="58266912"/>
        <c:axId val="60891064"/>
      </c:barChart>
      <c:dateAx>
        <c:axId val="58266912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b="1" lang="pl-PL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l-PL" sz="1000" spc="-1" strike="noStrike">
                    <a:solidFill>
                      <a:srgbClr val="000000"/>
                    </a:solidFill>
                    <a:latin typeface="Calibri"/>
                  </a:rPr>
                  <a:t>Miesiąc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91064"/>
        <c:auto val="1"/>
        <c:lblOffset val="100"/>
        <c:baseTimeUnit val="days"/>
        <c:noMultiLvlLbl val="0"/>
      </c:dateAx>
      <c:valAx>
        <c:axId val="60891064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pl-PL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l-PL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66912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758690476190476"/>
          <c:y val="0.472380740543025"/>
          <c:w val="0.193214087301587"/>
          <c:h val="0.433457300888236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95400</xdr:colOff>
      <xdr:row>10</xdr:row>
      <xdr:rowOff>0</xdr:rowOff>
    </xdr:from>
    <xdr:to>
      <xdr:col>12</xdr:col>
      <xdr:colOff>203760</xdr:colOff>
      <xdr:row>28</xdr:row>
      <xdr:rowOff>190080</xdr:rowOff>
    </xdr:to>
    <xdr:graphicFrame>
      <xdr:nvGraphicFramePr>
        <xdr:cNvPr id="0" name="Chart 1"/>
        <xdr:cNvGraphicFramePr/>
      </xdr:nvGraphicFramePr>
      <xdr:xfrm>
        <a:off x="95400" y="1990800"/>
        <a:ext cx="7515000" cy="3619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628560</xdr:colOff>
      <xdr:row>10</xdr:row>
      <xdr:rowOff>0</xdr:rowOff>
    </xdr:from>
    <xdr:to>
      <xdr:col>24</xdr:col>
      <xdr:colOff>227520</xdr:colOff>
      <xdr:row>28</xdr:row>
      <xdr:rowOff>180720</xdr:rowOff>
    </xdr:to>
    <xdr:graphicFrame>
      <xdr:nvGraphicFramePr>
        <xdr:cNvPr id="1" name="Chart 2"/>
        <xdr:cNvGraphicFramePr/>
      </xdr:nvGraphicFramePr>
      <xdr:xfrm>
        <a:off x="8699400" y="1990800"/>
        <a:ext cx="6905160" cy="3609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228600</xdr:colOff>
      <xdr:row>30</xdr:row>
      <xdr:rowOff>85680</xdr:rowOff>
    </xdr:from>
    <xdr:to>
      <xdr:col>12</xdr:col>
      <xdr:colOff>8640</xdr:colOff>
      <xdr:row>41</xdr:row>
      <xdr:rowOff>171000</xdr:rowOff>
    </xdr:to>
    <xdr:graphicFrame>
      <xdr:nvGraphicFramePr>
        <xdr:cNvPr id="2" name="Chart 3"/>
        <xdr:cNvGraphicFramePr/>
      </xdr:nvGraphicFramePr>
      <xdr:xfrm>
        <a:off x="329040" y="5924520"/>
        <a:ext cx="7086240" cy="2180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619200</xdr:colOff>
      <xdr:row>30</xdr:row>
      <xdr:rowOff>76320</xdr:rowOff>
    </xdr:from>
    <xdr:to>
      <xdr:col>21</xdr:col>
      <xdr:colOff>345240</xdr:colOff>
      <xdr:row>48</xdr:row>
      <xdr:rowOff>95040</xdr:rowOff>
    </xdr:to>
    <xdr:graphicFrame>
      <xdr:nvGraphicFramePr>
        <xdr:cNvPr id="3" name="Chart 4"/>
        <xdr:cNvGraphicFramePr/>
      </xdr:nvGraphicFramePr>
      <xdr:xfrm>
        <a:off x="8690040" y="5915160"/>
        <a:ext cx="5039640" cy="351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7" activePane="bottomRight" state="frozen"/>
      <selection pane="topLeft" activeCell="A1" activeCellId="0" sqref="A1"/>
      <selection pane="topRight" activeCell="B1" activeCellId="0" sqref="B1"/>
      <selection pane="bottomLeft" activeCell="A37" activeCellId="0" sqref="A37"/>
      <selection pane="bottomRight" activeCell="C42" activeCellId="0" sqref="C4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7" min="3" style="0" width="18"/>
    <col collapsed="false" customWidth="true" hidden="false" outlineLevel="0" max="8" min="8" style="0" width="4"/>
    <col collapsed="false" customWidth="true" hidden="false" outlineLevel="0" max="13" min="13" style="0" width="10.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4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4"/>
      <c r="H5" s="4"/>
    </row>
    <row r="6" customFormat="false" ht="25.5" hidden="false" customHeight="true" outlineLevel="0" collapsed="false">
      <c r="B6" s="6" t="s">
        <v>8</v>
      </c>
      <c r="C6" s="7" t="n">
        <v>210.5</v>
      </c>
      <c r="D6" s="8" t="n">
        <v>23</v>
      </c>
      <c r="E6" s="9" t="n">
        <f aca="false">C6*D6/100</f>
        <v>48.415</v>
      </c>
      <c r="F6" s="9" t="n">
        <f aca="false">C6+E6</f>
        <v>258.915</v>
      </c>
    </row>
    <row r="7" customFormat="false" ht="25.5" hidden="false" customHeight="true" outlineLevel="0" collapsed="false">
      <c r="B7" s="6" t="s">
        <v>9</v>
      </c>
      <c r="C7" s="7" t="n">
        <v>98.3</v>
      </c>
      <c r="D7" s="8" t="n">
        <v>23</v>
      </c>
      <c r="E7" s="9" t="n">
        <f aca="false">C7*D7/100</f>
        <v>22.609</v>
      </c>
      <c r="F7" s="9" t="n">
        <f aca="false">C7+E7</f>
        <v>120.909</v>
      </c>
    </row>
    <row r="8" customFormat="false" ht="16.5" hidden="false" customHeight="true" outlineLevel="0" collapsed="false">
      <c r="B8" s="6" t="s">
        <v>10</v>
      </c>
      <c r="C8" s="7" t="n">
        <v>14.2</v>
      </c>
      <c r="D8" s="8" t="n">
        <v>23</v>
      </c>
      <c r="E8" s="9" t="n">
        <f aca="false">C8*D8/100</f>
        <v>3.266</v>
      </c>
      <c r="F8" s="9" t="n">
        <f aca="false">C8+E8</f>
        <v>17.466</v>
      </c>
      <c r="M8" s="10"/>
    </row>
    <row r="9" customFormat="false" ht="16.5" hidden="false" customHeight="true" outlineLevel="0" collapsed="false">
      <c r="B9" s="6" t="s">
        <v>11</v>
      </c>
      <c r="C9" s="7" t="n">
        <v>3.1</v>
      </c>
      <c r="D9" s="8" t="n">
        <v>23</v>
      </c>
      <c r="E9" s="9" t="n">
        <f aca="false">C9*D9/100</f>
        <v>0.713</v>
      </c>
      <c r="F9" s="9" t="n">
        <f aca="false">C9+E9</f>
        <v>3.813</v>
      </c>
      <c r="M9" s="10"/>
    </row>
    <row r="10" customFormat="false" ht="16.5" hidden="false" customHeight="true" outlineLevel="0" collapsed="false">
      <c r="B10" s="6" t="s">
        <v>12</v>
      </c>
      <c r="C10" s="7" t="n">
        <v>1.28</v>
      </c>
      <c r="D10" s="8" t="n">
        <v>23</v>
      </c>
      <c r="E10" s="9" t="n">
        <f aca="false">C10*D10/100</f>
        <v>0.2944</v>
      </c>
      <c r="F10" s="9" t="n">
        <f aca="false">C10+E10</f>
        <v>1.5744</v>
      </c>
    </row>
    <row r="11" customFormat="false" ht="16.5" hidden="false" customHeight="true" outlineLevel="0" collapsed="false">
      <c r="B11" s="6" t="s">
        <v>13</v>
      </c>
      <c r="C11" s="7" t="n">
        <v>15</v>
      </c>
      <c r="D11" s="8" t="n">
        <v>23</v>
      </c>
      <c r="E11" s="9" t="n">
        <f aca="false">C11*D11/100</f>
        <v>3.45</v>
      </c>
      <c r="F11" s="9" t="n">
        <f aca="false">C11+E11</f>
        <v>18.45</v>
      </c>
    </row>
    <row r="12" customFormat="false" ht="15" hidden="false" customHeight="true" outlineLevel="0" collapsed="false">
      <c r="B12" s="6" t="s">
        <v>14</v>
      </c>
      <c r="C12" s="7" t="n">
        <v>20</v>
      </c>
      <c r="D12" s="8" t="n">
        <v>23</v>
      </c>
      <c r="E12" s="9" t="n">
        <f aca="false">C12*D12/100</f>
        <v>4.6</v>
      </c>
      <c r="F12" s="9" t="n">
        <f aca="false">C12+E12</f>
        <v>24.6</v>
      </c>
    </row>
    <row r="13" customFormat="false" ht="25.5" hidden="false" customHeight="true" outlineLevel="0" collapsed="false">
      <c r="B13" s="6" t="s">
        <v>15</v>
      </c>
      <c r="C13" s="7" t="n">
        <v>4.2</v>
      </c>
      <c r="D13" s="8" t="n">
        <v>23</v>
      </c>
      <c r="E13" s="9" t="n">
        <f aca="false">C13*D13/100</f>
        <v>0.966</v>
      </c>
      <c r="F13" s="9" t="n">
        <f aca="false">C13+E13</f>
        <v>5.166</v>
      </c>
    </row>
    <row r="14" customFormat="false" ht="16.5" hidden="false" customHeight="true" outlineLevel="0" collapsed="false">
      <c r="B14" s="6" t="s">
        <v>16</v>
      </c>
      <c r="C14" s="7" t="n">
        <v>9.5</v>
      </c>
      <c r="D14" s="8" t="n">
        <v>23</v>
      </c>
      <c r="E14" s="9" t="n">
        <f aca="false">C14*D14/100</f>
        <v>2.185</v>
      </c>
      <c r="F14" s="9" t="n">
        <f aca="false">C14+E14</f>
        <v>11.685</v>
      </c>
    </row>
    <row r="15" customFormat="false" ht="16.5" hidden="false" customHeight="true" outlineLevel="0" collapsed="false">
      <c r="B15" s="6" t="s">
        <v>17</v>
      </c>
      <c r="C15" s="7" t="n">
        <v>0</v>
      </c>
      <c r="D15" s="8" t="n">
        <v>23</v>
      </c>
      <c r="E15" s="9" t="n">
        <f aca="false">C15*D15/100</f>
        <v>0</v>
      </c>
      <c r="F15" s="9" t="n">
        <f aca="false">C15+E15</f>
        <v>0</v>
      </c>
    </row>
    <row r="16" customFormat="false" ht="18" hidden="false" customHeight="true" outlineLevel="0" collapsed="false">
      <c r="B16" s="6" t="s">
        <v>18</v>
      </c>
      <c r="C16" s="9" t="n">
        <f aca="false">SUM(C6:C15)</f>
        <v>376.08</v>
      </c>
      <c r="E16" s="9" t="n">
        <f aca="false">SUM(E6:E15)</f>
        <v>86.4984</v>
      </c>
      <c r="F16" s="11" t="n">
        <f aca="false">SUM(F6:F15)</f>
        <v>462.5784</v>
      </c>
    </row>
    <row r="18" customFormat="false" ht="18" hidden="false" customHeight="true" outlineLevel="0" collapsed="false">
      <c r="A18" s="3" t="s">
        <v>19</v>
      </c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B19" s="6" t="s">
        <v>20</v>
      </c>
      <c r="C19" s="12" t="n">
        <v>46023</v>
      </c>
    </row>
    <row r="20" customFormat="false" ht="15" hidden="false" customHeight="true" outlineLevel="0" collapsed="false">
      <c r="B20" s="6" t="s">
        <v>21</v>
      </c>
      <c r="C20" s="12" t="n">
        <v>46053</v>
      </c>
    </row>
    <row r="21" customFormat="false" ht="15" hidden="false" customHeight="true" outlineLevel="0" collapsed="false">
      <c r="B21" s="6" t="s">
        <v>22</v>
      </c>
      <c r="C21" s="13" t="n">
        <f aca="false">IF(AND(ISNUMBER(C20),ISNUMBER(C19)),C20-C19,"?")</f>
        <v>30</v>
      </c>
    </row>
    <row r="22" customFormat="false" ht="15" hidden="false" customHeight="true" outlineLevel="0" collapsed="false">
      <c r="B22" s="6" t="s">
        <v>23</v>
      </c>
      <c r="C22" s="14" t="n">
        <v>480</v>
      </c>
    </row>
    <row r="23" customFormat="false" ht="25.5" hidden="false" customHeight="true" outlineLevel="0" collapsed="false">
      <c r="B23" s="6" t="s">
        <v>24</v>
      </c>
      <c r="C23" s="15" t="s">
        <v>25</v>
      </c>
      <c r="D23" s="16" t="s">
        <v>26</v>
      </c>
      <c r="E23" s="16"/>
      <c r="F23" s="16"/>
      <c r="G23" s="16"/>
      <c r="H23" s="16"/>
    </row>
    <row r="24" customFormat="false" ht="18" hidden="false" customHeight="true" outlineLevel="0" collapsed="false">
      <c r="A24" s="3" t="s">
        <v>27</v>
      </c>
      <c r="B24" s="3"/>
      <c r="C24" s="3"/>
      <c r="D24" s="3"/>
      <c r="E24" s="3"/>
      <c r="F24" s="3"/>
      <c r="G24" s="3"/>
      <c r="H24" s="3"/>
    </row>
    <row r="25" customFormat="false" ht="15" hidden="false" customHeight="true" outlineLevel="0" collapsed="false">
      <c r="B25" s="5" t="s">
        <v>28</v>
      </c>
      <c r="C25" s="5" t="s">
        <v>29</v>
      </c>
      <c r="D25" s="5" t="s">
        <v>30</v>
      </c>
    </row>
    <row r="26" customFormat="false" ht="36" hidden="false" customHeight="true" outlineLevel="0" collapsed="false">
      <c r="B26" s="6" t="s">
        <v>31</v>
      </c>
      <c r="C26" s="12" t="n">
        <v>46023</v>
      </c>
      <c r="D26" s="17" t="s">
        <v>32</v>
      </c>
    </row>
    <row r="27" customFormat="false" ht="25.5" hidden="false" customHeight="true" outlineLevel="0" collapsed="false">
      <c r="B27" s="6" t="s">
        <v>33</v>
      </c>
      <c r="C27" s="14" t="n">
        <v>1500</v>
      </c>
    </row>
    <row r="28" customFormat="false" ht="36" hidden="false" customHeight="true" outlineLevel="0" collapsed="false">
      <c r="B28" s="6" t="s">
        <v>34</v>
      </c>
      <c r="C28" s="12" t="n">
        <v>46053</v>
      </c>
      <c r="D28" s="17" t="s">
        <v>35</v>
      </c>
    </row>
    <row r="29" customFormat="false" ht="15" hidden="false" customHeight="true" outlineLevel="0" collapsed="false">
      <c r="B29" s="6" t="s">
        <v>36</v>
      </c>
      <c r="C29" s="14" t="n">
        <v>1580</v>
      </c>
    </row>
    <row r="30" customFormat="false" ht="15" hidden="false" customHeight="true" outlineLevel="0" collapsed="false">
      <c r="B30" s="6" t="s">
        <v>37</v>
      </c>
      <c r="C30" s="13" t="n">
        <f aca="false">IF(AND(ISNUMBER(C28),ISNUMBER(C26)),C28-C26,"?")</f>
        <v>30</v>
      </c>
    </row>
    <row r="31" customFormat="false" ht="15" hidden="false" customHeight="true" outlineLevel="0" collapsed="false">
      <c r="B31" s="6" t="s">
        <v>38</v>
      </c>
      <c r="C31" s="18" t="n">
        <f aca="false">C29-C27</f>
        <v>80</v>
      </c>
    </row>
    <row r="32" customFormat="false" ht="72" hidden="false" customHeight="true" outlineLevel="0" collapsed="false">
      <c r="B32" s="6" t="s">
        <v>39</v>
      </c>
      <c r="C32" s="18" t="n">
        <f aca="false">IF(C23="TAK (pierwszy okres)",C31,IF(AND(ISNUMBER(C30),C30&gt;0,ISNUMBER(C21)),C31*C21/C30,C31))</f>
        <v>80</v>
      </c>
      <c r="D32" s="17" t="s">
        <v>40</v>
      </c>
    </row>
    <row r="34" customFormat="false" ht="18" hidden="false" customHeight="true" outlineLevel="0" collapsed="false">
      <c r="A34" s="3" t="s">
        <v>41</v>
      </c>
      <c r="B34" s="3"/>
      <c r="C34" s="3"/>
      <c r="D34" s="3"/>
      <c r="E34" s="3"/>
      <c r="F34" s="3"/>
      <c r="G34" s="3"/>
      <c r="H34" s="3"/>
    </row>
    <row r="36" customFormat="false" ht="36" hidden="false" customHeight="true" outlineLevel="0" collapsed="false">
      <c r="B36" s="6" t="s">
        <v>31</v>
      </c>
      <c r="C36" s="12" t="n">
        <v>46036</v>
      </c>
      <c r="D36" s="17" t="s">
        <v>32</v>
      </c>
    </row>
    <row r="37" customFormat="false" ht="25.5" hidden="false" customHeight="true" outlineLevel="0" collapsed="false">
      <c r="B37" s="6" t="s">
        <v>33</v>
      </c>
      <c r="C37" s="14" t="n">
        <v>300</v>
      </c>
    </row>
    <row r="38" customFormat="false" ht="36" hidden="false" customHeight="true" outlineLevel="0" collapsed="false">
      <c r="B38" s="6" t="s">
        <v>34</v>
      </c>
      <c r="C38" s="12" t="n">
        <v>46053</v>
      </c>
      <c r="D38" s="17" t="s">
        <v>35</v>
      </c>
    </row>
    <row r="39" customFormat="false" ht="15" hidden="false" customHeight="true" outlineLevel="0" collapsed="false">
      <c r="B39" s="6" t="s">
        <v>36</v>
      </c>
      <c r="C39" s="14" t="n">
        <v>445</v>
      </c>
    </row>
    <row r="40" customFormat="false" ht="15" hidden="false" customHeight="true" outlineLevel="0" collapsed="false">
      <c r="B40" s="6" t="s">
        <v>42</v>
      </c>
      <c r="C40" s="13" t="n">
        <f aca="false">IF(AND(ISNUMBER(C38),ISNUMBER(C36)),C38-C36,"?")</f>
        <v>17</v>
      </c>
    </row>
    <row r="41" customFormat="false" ht="15" hidden="false" customHeight="true" outlineLevel="0" collapsed="false">
      <c r="B41" s="6" t="s">
        <v>43</v>
      </c>
      <c r="C41" s="18" t="n">
        <f aca="false">C39-C37</f>
        <v>145</v>
      </c>
    </row>
    <row r="42" customFormat="false" ht="48" hidden="false" customHeight="true" outlineLevel="0" collapsed="false">
      <c r="B42" s="6" t="s">
        <v>44</v>
      </c>
      <c r="C42" s="18" t="n">
        <f aca="false">IF(C23="TAK (pierwszy okres)",C41,IF(AND(ISNUMBER(C40),C40&gt;0,ISNUMBER(C21)),C41*C21/C40,C41))</f>
        <v>255.882352941176</v>
      </c>
      <c r="D42" s="17" t="s">
        <v>45</v>
      </c>
    </row>
    <row r="46" customFormat="false" ht="18" hidden="false" customHeight="true" outlineLevel="0" collapsed="false">
      <c r="A46" s="3" t="s">
        <v>46</v>
      </c>
      <c r="B46" s="3"/>
      <c r="C46" s="3"/>
      <c r="D46" s="3"/>
      <c r="E46" s="3"/>
      <c r="F46" s="3"/>
      <c r="G46" s="3"/>
      <c r="H46" s="3"/>
    </row>
    <row r="47" customFormat="false" ht="27.75" hidden="false" customHeight="true" outlineLevel="0" collapsed="false">
      <c r="B47" s="6" t="s">
        <v>47</v>
      </c>
      <c r="C47" s="2" t="s">
        <v>48</v>
      </c>
      <c r="D47" s="2"/>
      <c r="E47" s="2"/>
      <c r="F47" s="2"/>
      <c r="G47" s="2"/>
      <c r="H47" s="2"/>
    </row>
    <row r="48" customFormat="false" ht="27.75" hidden="false" customHeight="true" outlineLevel="0" collapsed="false">
      <c r="B48" s="6" t="s">
        <v>49</v>
      </c>
      <c r="C48" s="2" t="s">
        <v>50</v>
      </c>
      <c r="D48" s="2"/>
      <c r="E48" s="2"/>
      <c r="F48" s="2"/>
      <c r="G48" s="2"/>
      <c r="H48" s="2"/>
    </row>
    <row r="49" customFormat="false" ht="27.75" hidden="false" customHeight="true" outlineLevel="0" collapsed="false">
      <c r="B49" s="6" t="s">
        <v>51</v>
      </c>
      <c r="C49" s="2" t="s">
        <v>52</v>
      </c>
      <c r="D49" s="2"/>
      <c r="E49" s="2"/>
      <c r="F49" s="2"/>
      <c r="G49" s="2"/>
      <c r="H49" s="2"/>
    </row>
    <row r="50" customFormat="false" ht="27.75" hidden="false" customHeight="true" outlineLevel="0" collapsed="false">
      <c r="B50" s="6" t="s">
        <v>53</v>
      </c>
      <c r="C50" s="2" t="s">
        <v>54</v>
      </c>
      <c r="D50" s="2"/>
      <c r="E50" s="2"/>
      <c r="F50" s="2"/>
      <c r="G50" s="2"/>
      <c r="H50" s="2"/>
    </row>
    <row r="51" customFormat="false" ht="27.75" hidden="false" customHeight="true" outlineLevel="0" collapsed="false">
      <c r="B51" s="6" t="s">
        <v>55</v>
      </c>
      <c r="C51" s="2" t="s">
        <v>56</v>
      </c>
      <c r="D51" s="2"/>
      <c r="E51" s="2"/>
      <c r="F51" s="2"/>
      <c r="G51" s="2"/>
      <c r="H51" s="2"/>
    </row>
    <row r="52" customFormat="false" ht="27.75" hidden="false" customHeight="true" outlineLevel="0" collapsed="false">
      <c r="B52" s="6" t="s">
        <v>57</v>
      </c>
      <c r="C52" s="2" t="s">
        <v>58</v>
      </c>
      <c r="D52" s="2"/>
      <c r="E52" s="2"/>
      <c r="F52" s="2"/>
      <c r="G52" s="2"/>
      <c r="H52" s="2"/>
    </row>
  </sheetData>
  <mergeCells count="14">
    <mergeCell ref="A1:H1"/>
    <mergeCell ref="A2:H2"/>
    <mergeCell ref="A4:H4"/>
    <mergeCell ref="A18:H18"/>
    <mergeCell ref="D23:H23"/>
    <mergeCell ref="A24:H24"/>
    <mergeCell ref="A34:H34"/>
    <mergeCell ref="A46:H46"/>
    <mergeCell ref="C47:H47"/>
    <mergeCell ref="C48:H48"/>
    <mergeCell ref="C49:H49"/>
    <mergeCell ref="C50:H50"/>
    <mergeCell ref="C51:H51"/>
    <mergeCell ref="C52:H52"/>
  </mergeCells>
  <dataValidations count="1">
    <dataValidation allowBlank="false" errorStyle="stop" operator="between" showDropDown="false" showErrorMessage="false" showInputMessage="false" sqref="C23" type="list">
      <formula1>"NIE,TAK (pierwszy okres)"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C27" activeCellId="0" sqref="C2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20"/>
    <col collapsed="false" customWidth="true" hidden="false" outlineLevel="0" max="5" min="5" style="0" width="11.14"/>
    <col collapsed="false" customWidth="true" hidden="false" outlineLevel="0" max="7" min="6" style="0" width="6"/>
    <col collapsed="false" customWidth="true" hidden="false" outlineLevel="0" max="8" min="8" style="0" width="4"/>
  </cols>
  <sheetData>
    <row r="1" customFormat="false" ht="21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</row>
    <row r="3" customFormat="false" ht="18" hidden="false" customHeight="true" outlineLevel="0" collapsed="false">
      <c r="A3" s="3" t="s">
        <v>60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B4" s="5" t="s">
        <v>61</v>
      </c>
      <c r="C4" s="5" t="s">
        <v>62</v>
      </c>
      <c r="D4" s="5" t="s">
        <v>63</v>
      </c>
    </row>
    <row r="5" customFormat="false" ht="16.5" hidden="false" customHeight="true" outlineLevel="0" collapsed="false">
      <c r="B5" s="6" t="s">
        <v>64</v>
      </c>
      <c r="C5" s="18" t="n">
        <f aca="false">'Dane wejściowe'!C22</f>
        <v>480</v>
      </c>
    </row>
    <row r="6" customFormat="false" ht="25.5" hidden="false" customHeight="true" outlineLevel="0" collapsed="false">
      <c r="B6" s="6" t="s">
        <v>65</v>
      </c>
      <c r="C6" s="18" t="n">
        <f aca="false">'Dane wejściowe'!C32</f>
        <v>80</v>
      </c>
    </row>
    <row r="7" customFormat="false" ht="25.5" hidden="false" customHeight="true" outlineLevel="0" collapsed="false">
      <c r="B7" s="6" t="s">
        <v>66</v>
      </c>
      <c r="C7" s="18" t="n">
        <f aca="false">'Dane wejściowe'!C42</f>
        <v>255.882352941176</v>
      </c>
    </row>
    <row r="8" customFormat="false" ht="24" hidden="false" customHeight="true" outlineLevel="0" collapsed="false">
      <c r="B8" s="6" t="s">
        <v>67</v>
      </c>
      <c r="C8" s="18" t="n">
        <f aca="false">C5-C6-C7</f>
        <v>144.117647058824</v>
      </c>
      <c r="D8" s="17" t="s">
        <v>68</v>
      </c>
    </row>
    <row r="9" customFormat="false" ht="16.5" hidden="false" customHeight="true" outlineLevel="0" collapsed="false">
      <c r="B9" s="6" t="s">
        <v>69</v>
      </c>
      <c r="C9" s="18" t="n">
        <f aca="false">C7/2</f>
        <v>127.941176470588</v>
      </c>
      <c r="D9" s="17" t="s">
        <v>70</v>
      </c>
    </row>
    <row r="10" customFormat="false" ht="16.5" hidden="false" customHeight="true" outlineLevel="0" collapsed="false">
      <c r="B10" s="6" t="s">
        <v>71</v>
      </c>
      <c r="C10" s="18" t="n">
        <f aca="false">C7/2</f>
        <v>127.941176470588</v>
      </c>
      <c r="D10" s="17" t="s">
        <v>70</v>
      </c>
    </row>
    <row r="11" customFormat="false" ht="25.5" hidden="false" customHeight="true" outlineLevel="0" collapsed="false">
      <c r="B11" s="6" t="s">
        <v>72</v>
      </c>
      <c r="C11" s="19" t="n">
        <f aca="false">C8+C9</f>
        <v>272.058823529412</v>
      </c>
    </row>
    <row r="12" customFormat="false" ht="25.5" hidden="false" customHeight="true" outlineLevel="0" collapsed="false">
      <c r="B12" s="6" t="s">
        <v>73</v>
      </c>
      <c r="C12" s="19" t="n">
        <f aca="false">C6+C10</f>
        <v>207.941176470588</v>
      </c>
    </row>
    <row r="13" customFormat="false" ht="36" hidden="false" customHeight="true" outlineLevel="0" collapsed="false">
      <c r="B13" s="6" t="s">
        <v>74</v>
      </c>
      <c r="C13" s="19" t="n">
        <f aca="false">C11+C12</f>
        <v>480</v>
      </c>
      <c r="D13" s="17" t="s">
        <v>75</v>
      </c>
    </row>
    <row r="16" customFormat="false" ht="18" hidden="false" customHeight="true" outlineLevel="0" collapsed="false">
      <c r="A16" s="3" t="s">
        <v>76</v>
      </c>
      <c r="B16" s="3"/>
      <c r="C16" s="3"/>
      <c r="D16" s="3"/>
      <c r="E16" s="3"/>
      <c r="F16" s="3"/>
      <c r="G16" s="3"/>
    </row>
    <row r="17" customFormat="false" ht="15" hidden="false" customHeight="true" outlineLevel="0" collapsed="false">
      <c r="B17" s="5" t="s">
        <v>77</v>
      </c>
      <c r="C17" s="5" t="s">
        <v>78</v>
      </c>
      <c r="D17" s="5" t="s">
        <v>79</v>
      </c>
    </row>
    <row r="18" customFormat="false" ht="15" hidden="false" customHeight="false" outlineLevel="0" collapsed="false">
      <c r="B18" s="6" t="s">
        <v>80</v>
      </c>
      <c r="C18" s="20" t="n">
        <f aca="false">IF('Dane wejściowe'!C22&gt;0,SUM('Dane wejściowe'!C6:C10)/'Dane wejściowe'!C22,0)</f>
        <v>0.682041666666667</v>
      </c>
    </row>
    <row r="19" customFormat="false" ht="15" hidden="false" customHeight="true" outlineLevel="0" collapsed="false">
      <c r="B19" s="6" t="s">
        <v>81</v>
      </c>
      <c r="C19" s="20" t="n">
        <f aca="false">IF('Dane wejściowe'!C22&gt;0,SUM('Dane wejściowe'!F6:F10)/'Dane wejściowe'!C22,0)</f>
        <v>0.83891125</v>
      </c>
    </row>
    <row r="20" customFormat="false" ht="15" hidden="false" customHeight="true" outlineLevel="0" collapsed="false">
      <c r="B20" s="6" t="s">
        <v>82</v>
      </c>
      <c r="C20" s="9" t="n">
        <f aca="false">SUM('Dane wejściowe'!F11:F15)</f>
        <v>59.901</v>
      </c>
    </row>
    <row r="21" customFormat="false" ht="25.5" hidden="false" customHeight="true" outlineLevel="0" collapsed="false">
      <c r="B21" s="6" t="s">
        <v>83</v>
      </c>
      <c r="C21" s="9" t="n">
        <f aca="false">C20/2</f>
        <v>29.9505</v>
      </c>
    </row>
    <row r="23" customFormat="false" ht="18" hidden="false" customHeight="true" outlineLevel="0" collapsed="false">
      <c r="A23" s="3" t="s">
        <v>84</v>
      </c>
      <c r="B23" s="3"/>
      <c r="C23" s="3"/>
      <c r="D23" s="3"/>
      <c r="E23" s="3"/>
      <c r="F23" s="3"/>
      <c r="G23" s="3"/>
    </row>
    <row r="24" customFormat="false" ht="15" hidden="false" customHeight="true" outlineLevel="0" collapsed="false">
      <c r="B24" s="5" t="s">
        <v>85</v>
      </c>
      <c r="C24" s="5" t="s">
        <v>86</v>
      </c>
      <c r="D24" s="5" t="s">
        <v>87</v>
      </c>
    </row>
    <row r="25" customFormat="false" ht="25.5" hidden="false" customHeight="true" outlineLevel="0" collapsed="false">
      <c r="B25" s="6" t="s">
        <v>88</v>
      </c>
      <c r="C25" s="9" t="n">
        <f aca="false">C11*C19</f>
        <v>228.233207720588</v>
      </c>
      <c r="D25" s="9" t="n">
        <f aca="false">C12*C19</f>
        <v>174.444192279412</v>
      </c>
    </row>
    <row r="26" customFormat="false" ht="16.5" hidden="false" customHeight="true" outlineLevel="0" collapsed="false">
      <c r="B26" s="6" t="s">
        <v>89</v>
      </c>
      <c r="C26" s="9" t="n">
        <f aca="false">C21</f>
        <v>29.9505</v>
      </c>
      <c r="D26" s="9" t="n">
        <f aca="false">C21</f>
        <v>29.9505</v>
      </c>
    </row>
    <row r="27" customFormat="false" ht="19.5" hidden="false" customHeight="true" outlineLevel="0" collapsed="false">
      <c r="B27" s="6" t="s">
        <v>90</v>
      </c>
      <c r="C27" s="11" t="n">
        <f aca="false">SUM(C25:C26)</f>
        <v>258.183707720588</v>
      </c>
      <c r="D27" s="11" t="n">
        <f aca="false">SUM(D25:D26)</f>
        <v>204.394692279412</v>
      </c>
    </row>
    <row r="28" customFormat="false" ht="15" hidden="false" customHeight="true" outlineLevel="0" collapsed="false">
      <c r="B28" s="6" t="s">
        <v>91</v>
      </c>
      <c r="C28" s="9" t="n">
        <f aca="false">C27+D27</f>
        <v>462.5784</v>
      </c>
      <c r="D28" s="9" t="n">
        <f aca="false">'Dane wejściowe'!F16</f>
        <v>462.5784</v>
      </c>
      <c r="E28" s="21" t="str">
        <f aca="false">IF(ABS(C28-D28)&lt;0.02,"✅ OK","⚠️ SPRAWDŹ")</f>
        <v>✅ OK</v>
      </c>
      <c r="F28" s="21"/>
      <c r="G28" s="21"/>
    </row>
    <row r="30" customFormat="false" ht="18" hidden="false" customHeight="true" outlineLevel="0" collapsed="false">
      <c r="A30" s="3" t="s">
        <v>92</v>
      </c>
      <c r="B30" s="3"/>
      <c r="C30" s="3"/>
      <c r="D30" s="3"/>
      <c r="E30" s="3"/>
      <c r="F30" s="3"/>
      <c r="G30" s="3"/>
      <c r="O30" s="0" t="n">
        <v>264.98</v>
      </c>
    </row>
    <row r="31" customFormat="false" ht="25.5" hidden="false" customHeight="true" outlineLevel="0" collapsed="false">
      <c r="B31" s="5" t="s">
        <v>61</v>
      </c>
      <c r="C31" s="5" t="s">
        <v>93</v>
      </c>
      <c r="D31" s="5" t="s">
        <v>94</v>
      </c>
      <c r="E31" s="5" t="s">
        <v>95</v>
      </c>
    </row>
    <row r="32" customFormat="false" ht="15" hidden="false" customHeight="true" outlineLevel="0" collapsed="false">
      <c r="B32" s="6" t="s">
        <v>96</v>
      </c>
      <c r="C32" s="18" t="n">
        <f aca="false">C8</f>
        <v>144.117647058824</v>
      </c>
      <c r="D32" s="18" t="n">
        <f aca="false">C6</f>
        <v>80</v>
      </c>
      <c r="E32" s="18" t="n">
        <f aca="false">C8+C6</f>
        <v>224.117647058824</v>
      </c>
    </row>
    <row r="33" customFormat="false" ht="15" hidden="false" customHeight="true" outlineLevel="0" collapsed="false">
      <c r="B33" s="6" t="s">
        <v>97</v>
      </c>
      <c r="C33" s="18" t="n">
        <f aca="false">C9</f>
        <v>127.941176470588</v>
      </c>
      <c r="D33" s="18" t="n">
        <f aca="false">C10</f>
        <v>127.941176470588</v>
      </c>
      <c r="E33" s="18" t="n">
        <f aca="false">C9+C10</f>
        <v>255.882352941176</v>
      </c>
    </row>
    <row r="34" customFormat="false" ht="15" hidden="false" customHeight="true" outlineLevel="0" collapsed="false">
      <c r="B34" s="6" t="s">
        <v>98</v>
      </c>
      <c r="C34" s="19" t="n">
        <f aca="false">C11</f>
        <v>272.058823529412</v>
      </c>
      <c r="D34" s="19" t="n">
        <f aca="false">C12</f>
        <v>207.941176470588</v>
      </c>
      <c r="E34" s="19" t="n">
        <f aca="false">C11+C12</f>
        <v>480</v>
      </c>
    </row>
    <row r="36" customFormat="false" ht="18" hidden="false" customHeight="true" outlineLevel="0" collapsed="false">
      <c r="A36" s="3" t="s">
        <v>99</v>
      </c>
      <c r="B36" s="3"/>
      <c r="C36" s="3"/>
      <c r="D36" s="3"/>
      <c r="E36" s="3"/>
      <c r="F36" s="3"/>
      <c r="G36" s="3"/>
    </row>
    <row r="37" customFormat="false" ht="16.5" hidden="false" customHeight="true" outlineLevel="0" collapsed="false">
      <c r="B37" s="6" t="s">
        <v>100</v>
      </c>
      <c r="C37" s="22" t="str">
        <f aca="false">IF(AND(ISNUMBER('Dane wejściowe'!C26),ISNUMBER('Dane wejściowe'!C19)),IF(ABS('Dane wejściowe'!C26-'Dane wejściowe'!C19)&lt;=1,"✅ Zsynchronizowany","⚠️ Różnica: "&amp;ABS('Dane wejściowe'!C26-'Dane wejściowe'!C19)&amp;" dni – stosowana korekta proporcjonalna"),"Brak daty")</f>
        <v>✅ Zsynchronizowany</v>
      </c>
      <c r="D37" s="22"/>
      <c r="E37" s="22"/>
      <c r="F37" s="22"/>
      <c r="G37" s="22"/>
    </row>
    <row r="38" customFormat="false" ht="16.5" hidden="false" customHeight="true" outlineLevel="0" collapsed="false">
      <c r="B38" s="6" t="s">
        <v>101</v>
      </c>
      <c r="C38" s="22" t="str">
        <f aca="false">IF(AND(ISNUMBER('Dane wejściowe'!C28),ISNUMBER('Dane wejściowe'!C20)),IF(ABS('Dane wejściowe'!C28-'Dane wejściowe'!C20)&lt;=1,"✅ Zsynchronizowany","⚠️ Różnica: "&amp;ABS('Dane wejściowe'!C28-'Dane wejściowe'!C20)&amp;" dni – stosowana korekta proporcjonalna"),"Brak daty")</f>
        <v>✅ Zsynchronizowany</v>
      </c>
      <c r="D38" s="22"/>
      <c r="E38" s="22"/>
      <c r="F38" s="22"/>
      <c r="G38" s="22"/>
    </row>
    <row r="39" customFormat="false" ht="16.5" hidden="false" customHeight="true" outlineLevel="0" collapsed="false">
      <c r="B39" s="6" t="s">
        <v>102</v>
      </c>
      <c r="C39" s="22" t="str">
        <f aca="false">IF(AND(ISNUMBER('Dane wejściowe'!C36),ISNUMBER('Dane wejściowe'!C19)),IF(ABS('Dane wejściowe'!C36-'Dane wejściowe'!C19)&lt;=1,"✅ Zsynchronizowany","⚠️ Różnica: "&amp;ABS('Dane wejściowe'!C36-'Dane wejściowe'!C19)&amp;" dni – stosowana korekta proporcjonalna"),"Brak daty")</f>
        <v>⚠️ Różnica: 13 dni – stosowana korekta proporcjonalna</v>
      </c>
      <c r="D39" s="22"/>
      <c r="E39" s="22"/>
      <c r="F39" s="22"/>
      <c r="G39" s="22"/>
    </row>
    <row r="40" customFormat="false" ht="16.5" hidden="false" customHeight="true" outlineLevel="0" collapsed="false">
      <c r="B40" s="6" t="s">
        <v>103</v>
      </c>
      <c r="C40" s="22" t="str">
        <f aca="false">IF(AND(ISNUMBER('Dane wejściowe'!C38),ISNUMBER('Dane wejściowe'!C20)),IF(ABS('Dane wejściowe'!C38-'Dane wejściowe'!C20)&lt;=1,"✅ Zsynchronizowany","⚠️ Różnica: "&amp;ABS('Dane wejściowe'!C38-'Dane wejściowe'!C20)&amp;" dni – stosowana korekta proporcjonalna"),"Brak daty")</f>
        <v>✅ Zsynchronizowany</v>
      </c>
      <c r="D40" s="22"/>
      <c r="E40" s="22"/>
      <c r="F40" s="22"/>
      <c r="G40" s="22"/>
    </row>
  </sheetData>
  <mergeCells count="11">
    <mergeCell ref="A1:G1"/>
    <mergeCell ref="A3:G3"/>
    <mergeCell ref="A16:G16"/>
    <mergeCell ref="A23:G23"/>
    <mergeCell ref="E28:G28"/>
    <mergeCell ref="A30:G30"/>
    <mergeCell ref="A36:G36"/>
    <mergeCell ref="C37:G37"/>
    <mergeCell ref="C38:G38"/>
    <mergeCell ref="C39:G39"/>
    <mergeCell ref="C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E9" activeCellId="0" sqref="E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10" min="7" style="0" width="14"/>
    <col collapsed="false" customWidth="true" hidden="false" outlineLevel="0" max="12" min="11" style="0" width="11.85"/>
    <col collapsed="false" customWidth="true" hidden="false" outlineLevel="0" max="13" min="13" style="0" width="14.42"/>
  </cols>
  <sheetData>
    <row r="1" customFormat="false" ht="21.75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105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5.5" hidden="false" customHeight="true" outlineLevel="0" collapsed="false">
      <c r="B4" s="5" t="s">
        <v>106</v>
      </c>
      <c r="C4" s="5" t="s">
        <v>107</v>
      </c>
      <c r="D4" s="5" t="s">
        <v>108</v>
      </c>
      <c r="E4" s="5" t="s">
        <v>109</v>
      </c>
      <c r="F4" s="5" t="s">
        <v>110</v>
      </c>
      <c r="G4" s="5" t="s">
        <v>111</v>
      </c>
      <c r="H4" s="5" t="s">
        <v>112</v>
      </c>
      <c r="I4" s="5" t="s">
        <v>113</v>
      </c>
      <c r="J4" s="5" t="s">
        <v>114</v>
      </c>
      <c r="K4" s="23" t="s">
        <v>115</v>
      </c>
      <c r="L4" s="23" t="s">
        <v>116</v>
      </c>
      <c r="M4" s="23" t="s">
        <v>117</v>
      </c>
      <c r="N4" s="23" t="s">
        <v>118</v>
      </c>
    </row>
    <row r="5" customFormat="false" ht="19.5" hidden="false" customHeight="true" outlineLevel="0" collapsed="false">
      <c r="A5" s="24" t="s">
        <v>119</v>
      </c>
      <c r="B5" s="24"/>
      <c r="C5" s="24"/>
      <c r="D5" s="24"/>
      <c r="E5" s="24"/>
      <c r="F5" s="24"/>
      <c r="G5" s="24"/>
      <c r="H5" s="24"/>
      <c r="I5" s="24"/>
      <c r="J5" s="24"/>
    </row>
    <row r="6" customFormat="false" ht="18" hidden="false" customHeight="true" outlineLevel="0" collapsed="false">
      <c r="B6" s="25" t="n">
        <f aca="false">'Dane wejściowe'!C20</f>
        <v>46053</v>
      </c>
      <c r="C6" s="26" t="n">
        <f aca="false">'Dane wejściowe'!C22</f>
        <v>480</v>
      </c>
      <c r="D6" s="26" t="n">
        <f aca="false">Obliczenia!C6</f>
        <v>80</v>
      </c>
      <c r="E6" s="26" t="n">
        <f aca="false">Obliczenia!C7</f>
        <v>255.882352941176</v>
      </c>
      <c r="F6" s="26" t="n">
        <f aca="false">Obliczenia!C8</f>
        <v>144.117647058824</v>
      </c>
      <c r="G6" s="27" t="n">
        <f aca="false">'Dane wejściowe'!F16</f>
        <v>462.5784</v>
      </c>
      <c r="H6" s="27" t="n">
        <f aca="false">Obliczenia!C27</f>
        <v>258.183707720588</v>
      </c>
      <c r="I6" s="27" t="n">
        <f aca="false">Obliczenia!D27</f>
        <v>204.394692279412</v>
      </c>
      <c r="J6" s="27" t="n">
        <f aca="false">H6+I6</f>
        <v>462.5784</v>
      </c>
      <c r="K6" s="28" t="n">
        <f aca="false">Obliczenia!C11</f>
        <v>272.058823529412</v>
      </c>
      <c r="L6" s="28" t="n">
        <f aca="false">Obliczenia!C12</f>
        <v>207.941176470588</v>
      </c>
      <c r="M6" s="29" t="n">
        <f aca="false">Obliczenia!C19</f>
        <v>0.83891125</v>
      </c>
      <c r="N6" s="30" t="n">
        <f aca="false">Obliczenia!C20</f>
        <v>59.901</v>
      </c>
    </row>
    <row r="7" customFormat="false" ht="21.75" hidden="false" customHeight="true" outlineLevel="0" collapsed="false">
      <c r="A7" s="31" t="s">
        <v>120</v>
      </c>
      <c r="B7" s="31"/>
      <c r="C7" s="31"/>
      <c r="D7" s="31"/>
      <c r="E7" s="31"/>
      <c r="F7" s="31"/>
      <c r="G7" s="31"/>
      <c r="H7" s="31"/>
      <c r="I7" s="31"/>
      <c r="J7" s="31"/>
    </row>
    <row r="8" customFormat="false" ht="15.75" hidden="false" customHeight="true" outlineLevel="0" collapsed="false">
      <c r="B8" s="32" t="n">
        <v>46022</v>
      </c>
      <c r="C8" s="14" t="n">
        <v>452</v>
      </c>
      <c r="D8" s="14" t="n">
        <v>76</v>
      </c>
      <c r="E8" s="14" t="n">
        <v>198</v>
      </c>
      <c r="F8" s="18" t="n">
        <v>178</v>
      </c>
      <c r="G8" s="7" t="n">
        <v>415.6</v>
      </c>
      <c r="H8" s="7" t="n">
        <v>268.17</v>
      </c>
      <c r="I8" s="7" t="n">
        <v>181.97</v>
      </c>
      <c r="J8" s="9" t="n">
        <v>483.4638</v>
      </c>
      <c r="K8" s="33" t="n">
        <v>243.74</v>
      </c>
      <c r="L8" s="33" t="n">
        <v>180.26</v>
      </c>
      <c r="M8" s="34" t="n">
        <v>0.972686320754717</v>
      </c>
      <c r="N8" s="35" t="n">
        <v>71.0448</v>
      </c>
    </row>
    <row r="9" customFormat="false" ht="15.75" hidden="false" customHeight="true" outlineLevel="0" collapsed="false">
      <c r="B9" s="32" t="n">
        <v>46053</v>
      </c>
      <c r="C9" s="14" t="n">
        <v>480</v>
      </c>
      <c r="D9" s="14" t="n">
        <v>80</v>
      </c>
      <c r="E9" s="14" t="n">
        <v>255.88</v>
      </c>
      <c r="F9" s="18" t="n">
        <v>144.12</v>
      </c>
      <c r="G9" s="7" t="n">
        <v>470.3</v>
      </c>
      <c r="H9" s="7" t="n">
        <v>268.07</v>
      </c>
      <c r="I9" s="7" t="n">
        <v>212.93</v>
      </c>
      <c r="J9" s="9" t="n">
        <v>566.1567</v>
      </c>
      <c r="K9" s="33" t="n">
        <v>257</v>
      </c>
      <c r="L9" s="33" t="n">
        <v>252</v>
      </c>
      <c r="M9" s="34" t="n">
        <v>0.972714931237721</v>
      </c>
      <c r="N9" s="35" t="n">
        <v>71.0448</v>
      </c>
    </row>
    <row r="10" customFormat="false" ht="15.75" hidden="false" customHeight="true" outlineLevel="0" collapsed="false">
      <c r="B10" s="32"/>
      <c r="C10" s="14"/>
      <c r="D10" s="14"/>
      <c r="E10" s="14"/>
      <c r="F10" s="18" t="n">
        <f aca="false">C10-D10-E10</f>
        <v>0</v>
      </c>
      <c r="G10" s="7"/>
      <c r="H10" s="7"/>
      <c r="I10" s="7"/>
      <c r="J10" s="9" t="n">
        <f aca="false">H10+I10</f>
        <v>0</v>
      </c>
      <c r="K10" s="33" t="str">
        <f aca="false">IF(C10="","",F10+E10/2)</f>
        <v/>
      </c>
      <c r="L10" s="33" t="str">
        <f aca="false">IF(C10="","",D10+E10/2)</f>
        <v/>
      </c>
      <c r="M10" s="34" t="str">
        <f aca="false">IF(AND(ISNUMBER(C10),C10&gt;0,ISNUMBER(G10),ISNUMBER(N10)),(H10+I10-N10)/C10,"")</f>
        <v/>
      </c>
      <c r="N10" s="35"/>
    </row>
    <row r="11" customFormat="false" ht="15.75" hidden="false" customHeight="true" outlineLevel="0" collapsed="false">
      <c r="B11" s="32"/>
      <c r="C11" s="14"/>
      <c r="D11" s="14"/>
      <c r="E11" s="14"/>
      <c r="F11" s="18" t="n">
        <f aca="false">C11-D11-E11</f>
        <v>0</v>
      </c>
      <c r="G11" s="7"/>
      <c r="H11" s="7"/>
      <c r="I11" s="7"/>
      <c r="J11" s="9" t="n">
        <f aca="false">H11+I11</f>
        <v>0</v>
      </c>
      <c r="K11" s="33" t="str">
        <f aca="false">IF(C11="","",F11+E11/2)</f>
        <v/>
      </c>
      <c r="L11" s="33" t="str">
        <f aca="false">IF(C11="","",D11+E11/2)</f>
        <v/>
      </c>
      <c r="M11" s="34" t="str">
        <f aca="false">IF(AND(ISNUMBER(C11),C11&gt;0,ISNUMBER(G11),ISNUMBER(N11)),(H11+I11-N11)/C11,"")</f>
        <v/>
      </c>
      <c r="N11" s="35"/>
    </row>
    <row r="12" customFormat="false" ht="15.75" hidden="false" customHeight="true" outlineLevel="0" collapsed="false">
      <c r="B12" s="32"/>
      <c r="C12" s="14"/>
      <c r="D12" s="14"/>
      <c r="E12" s="14"/>
      <c r="F12" s="18" t="n">
        <f aca="false">C12-D12-E12</f>
        <v>0</v>
      </c>
      <c r="G12" s="7"/>
      <c r="H12" s="7"/>
      <c r="I12" s="7"/>
      <c r="J12" s="9" t="n">
        <f aca="false">H12+I12</f>
        <v>0</v>
      </c>
      <c r="K12" s="33" t="str">
        <f aca="false">IF(C12="","",F12+E12/2)</f>
        <v/>
      </c>
      <c r="L12" s="33" t="str">
        <f aca="false">IF(C12="","",D12+E12/2)</f>
        <v/>
      </c>
      <c r="M12" s="34" t="str">
        <f aca="false">IF(AND(ISNUMBER(C12),C12&gt;0,ISNUMBER(G12),ISNUMBER(N12)),(H12+I12-N12)/C12,"")</f>
        <v/>
      </c>
      <c r="N12" s="35"/>
    </row>
    <row r="13" customFormat="false" ht="15.75" hidden="false" customHeight="true" outlineLevel="0" collapsed="false">
      <c r="B13" s="32"/>
      <c r="C13" s="14"/>
      <c r="D13" s="14"/>
      <c r="E13" s="14"/>
      <c r="F13" s="18" t="n">
        <f aca="false">C13-D13-E13</f>
        <v>0</v>
      </c>
      <c r="G13" s="7"/>
      <c r="H13" s="7"/>
      <c r="I13" s="7"/>
      <c r="J13" s="9" t="n">
        <f aca="false">H13+I13</f>
        <v>0</v>
      </c>
      <c r="K13" s="33" t="str">
        <f aca="false">IF(C13="","",F13+E13/2)</f>
        <v/>
      </c>
      <c r="L13" s="33" t="str">
        <f aca="false">IF(C13="","",D13+E13/2)</f>
        <v/>
      </c>
      <c r="M13" s="34" t="str">
        <f aca="false">IF(AND(ISNUMBER(C13),C13&gt;0,ISNUMBER(G13),ISNUMBER(N13)),(H13+I13-N13)/C13,"")</f>
        <v/>
      </c>
      <c r="N13" s="35"/>
    </row>
    <row r="14" customFormat="false" ht="15.75" hidden="false" customHeight="true" outlineLevel="0" collapsed="false">
      <c r="B14" s="32"/>
      <c r="C14" s="14"/>
      <c r="D14" s="14"/>
      <c r="E14" s="14"/>
      <c r="F14" s="18" t="n">
        <f aca="false">C14-D14-E14</f>
        <v>0</v>
      </c>
      <c r="G14" s="7"/>
      <c r="H14" s="7"/>
      <c r="I14" s="7"/>
      <c r="J14" s="9" t="n">
        <f aca="false">H14+I14</f>
        <v>0</v>
      </c>
      <c r="K14" s="33" t="str">
        <f aca="false">IF(C14="","",F14+E14/2)</f>
        <v/>
      </c>
      <c r="L14" s="33" t="str">
        <f aca="false">IF(C14="","",D14+E14/2)</f>
        <v/>
      </c>
      <c r="M14" s="34" t="str">
        <f aca="false">IF(AND(ISNUMBER(C14),C14&gt;0,ISNUMBER(G14),ISNUMBER(N14)),(H14+I14-N14)/C14,"")</f>
        <v/>
      </c>
      <c r="N14" s="35"/>
    </row>
    <row r="15" customFormat="false" ht="15.75" hidden="false" customHeight="true" outlineLevel="0" collapsed="false">
      <c r="B15" s="32"/>
      <c r="C15" s="14"/>
      <c r="D15" s="14"/>
      <c r="E15" s="14"/>
      <c r="F15" s="18" t="n">
        <f aca="false">C15-D15-E15</f>
        <v>0</v>
      </c>
      <c r="G15" s="7"/>
      <c r="H15" s="7"/>
      <c r="I15" s="7"/>
      <c r="J15" s="9" t="n">
        <f aca="false">H15+I15</f>
        <v>0</v>
      </c>
      <c r="K15" s="33" t="str">
        <f aca="false">IF(C15="","",F15+E15/2)</f>
        <v/>
      </c>
      <c r="L15" s="33" t="str">
        <f aca="false">IF(C15="","",D15+E15/2)</f>
        <v/>
      </c>
      <c r="M15" s="34" t="str">
        <f aca="false">IF(AND(ISNUMBER(C15),C15&gt;0,ISNUMBER(G15),ISNUMBER(N15)),(H15+I15-N15)/C15,"")</f>
        <v/>
      </c>
      <c r="N15" s="35"/>
    </row>
    <row r="16" customFormat="false" ht="15.75" hidden="false" customHeight="true" outlineLevel="0" collapsed="false">
      <c r="B16" s="32"/>
      <c r="C16" s="14"/>
      <c r="D16" s="14"/>
      <c r="E16" s="14"/>
      <c r="F16" s="18" t="n">
        <f aca="false">C16-D16-E16</f>
        <v>0</v>
      </c>
      <c r="G16" s="7"/>
      <c r="H16" s="7"/>
      <c r="I16" s="7"/>
      <c r="J16" s="9" t="n">
        <f aca="false">H16+I16</f>
        <v>0</v>
      </c>
      <c r="K16" s="33" t="str">
        <f aca="false">IF(C16="","",F16+E16/2)</f>
        <v/>
      </c>
      <c r="L16" s="33" t="str">
        <f aca="false">IF(C16="","",D16+E16/2)</f>
        <v/>
      </c>
      <c r="M16" s="34" t="str">
        <f aca="false">IF(AND(ISNUMBER(C16),C16&gt;0,ISNUMBER(G16),ISNUMBER(N16)),(H16+I16-N16)/C16,"")</f>
        <v/>
      </c>
      <c r="N16" s="35"/>
    </row>
    <row r="17" customFormat="false" ht="15.75" hidden="false" customHeight="true" outlineLevel="0" collapsed="false">
      <c r="B17" s="32"/>
      <c r="C17" s="14"/>
      <c r="D17" s="14"/>
      <c r="E17" s="14"/>
      <c r="F17" s="18" t="n">
        <f aca="false">C17-D17-E17</f>
        <v>0</v>
      </c>
      <c r="G17" s="7"/>
      <c r="H17" s="7"/>
      <c r="I17" s="7"/>
      <c r="J17" s="9" t="n">
        <f aca="false">H17+I17</f>
        <v>0</v>
      </c>
      <c r="K17" s="33" t="str">
        <f aca="false">IF(C17="","",F17+E17/2)</f>
        <v/>
      </c>
      <c r="L17" s="33" t="str">
        <f aca="false">IF(C17="","",D17+E17/2)</f>
        <v/>
      </c>
      <c r="M17" s="34" t="str">
        <f aca="false">IF(AND(ISNUMBER(C17),C17&gt;0,ISNUMBER(G17),ISNUMBER(N17)),(H17+I17-N17)/C17,"")</f>
        <v/>
      </c>
      <c r="N17" s="35"/>
    </row>
    <row r="18" customFormat="false" ht="15.75" hidden="false" customHeight="true" outlineLevel="0" collapsed="false">
      <c r="B18" s="32"/>
      <c r="C18" s="14"/>
      <c r="D18" s="14"/>
      <c r="E18" s="14"/>
      <c r="F18" s="18" t="n">
        <f aca="false">C18-D18-E18</f>
        <v>0</v>
      </c>
      <c r="G18" s="7"/>
      <c r="H18" s="7"/>
      <c r="I18" s="7"/>
      <c r="J18" s="9" t="n">
        <f aca="false">H18+I18</f>
        <v>0</v>
      </c>
      <c r="K18" s="33" t="str">
        <f aca="false">IF(C18="","",F18+E18/2)</f>
        <v/>
      </c>
      <c r="L18" s="33" t="str">
        <f aca="false">IF(C18="","",D18+E18/2)</f>
        <v/>
      </c>
      <c r="M18" s="34" t="str">
        <f aca="false">IF(AND(ISNUMBER(C18),C18&gt;0,ISNUMBER(G18),ISNUMBER(N18)),(H18+I18-N18)/C18,"")</f>
        <v/>
      </c>
      <c r="N18" s="35"/>
    </row>
    <row r="19" customFormat="false" ht="15.75" hidden="false" customHeight="true" outlineLevel="0" collapsed="false">
      <c r="B19" s="32"/>
      <c r="C19" s="14"/>
      <c r="D19" s="14"/>
      <c r="E19" s="14"/>
      <c r="F19" s="18" t="n">
        <f aca="false">C19-D19-E19</f>
        <v>0</v>
      </c>
      <c r="G19" s="7"/>
      <c r="H19" s="7"/>
      <c r="I19" s="7"/>
      <c r="J19" s="9" t="n">
        <f aca="false">H19+I19</f>
        <v>0</v>
      </c>
      <c r="K19" s="33" t="str">
        <f aca="false">IF(C19="","",F19+E19/2)</f>
        <v/>
      </c>
      <c r="L19" s="33" t="str">
        <f aca="false">IF(C19="","",D19+E19/2)</f>
        <v/>
      </c>
      <c r="M19" s="34" t="str">
        <f aca="false">IF(AND(ISNUMBER(C19),C19&gt;0,ISNUMBER(G19),ISNUMBER(N19)),(H19+I19-N19)/C19,"")</f>
        <v/>
      </c>
      <c r="N19" s="35"/>
    </row>
    <row r="20" customFormat="false" ht="15.75" hidden="false" customHeight="true" outlineLevel="0" collapsed="false">
      <c r="B20" s="32"/>
      <c r="C20" s="14"/>
      <c r="D20" s="14"/>
      <c r="E20" s="14"/>
      <c r="F20" s="18" t="n">
        <f aca="false">C20-D20-E20</f>
        <v>0</v>
      </c>
      <c r="G20" s="7"/>
      <c r="H20" s="7"/>
      <c r="I20" s="7"/>
      <c r="J20" s="9" t="n">
        <f aca="false">H20+I20</f>
        <v>0</v>
      </c>
      <c r="K20" s="33" t="str">
        <f aca="false">IF(C20="","",F20+E20/2)</f>
        <v/>
      </c>
      <c r="L20" s="33" t="str">
        <f aca="false">IF(C20="","",D20+E20/2)</f>
        <v/>
      </c>
      <c r="M20" s="34" t="str">
        <f aca="false">IF(AND(ISNUMBER(C20),C20&gt;0,ISNUMBER(G20),ISNUMBER(N20)),(H20+I20-N20)/C20,"")</f>
        <v/>
      </c>
      <c r="N20" s="35"/>
    </row>
    <row r="21" customFormat="false" ht="15.75" hidden="false" customHeight="true" outlineLevel="0" collapsed="false">
      <c r="B21" s="32"/>
      <c r="C21" s="14"/>
      <c r="D21" s="14"/>
      <c r="E21" s="14"/>
      <c r="F21" s="18" t="n">
        <f aca="false">C21-D21-E21</f>
        <v>0</v>
      </c>
      <c r="G21" s="7"/>
      <c r="H21" s="7"/>
      <c r="I21" s="7"/>
      <c r="J21" s="9" t="n">
        <f aca="false">H21+I21</f>
        <v>0</v>
      </c>
      <c r="K21" s="33" t="str">
        <f aca="false">IF(C21="","",F21+E21/2)</f>
        <v/>
      </c>
      <c r="L21" s="33" t="str">
        <f aca="false">IF(C21="","",D21+E21/2)</f>
        <v/>
      </c>
      <c r="M21" s="34" t="str">
        <f aca="false">IF(AND(ISNUMBER(C21),C21&gt;0,ISNUMBER(G21),ISNUMBER(N21)),(H21+I21-N21)/C21,"")</f>
        <v/>
      </c>
      <c r="N21" s="35"/>
    </row>
    <row r="22" customFormat="false" ht="15.75" hidden="false" customHeight="true" outlineLevel="0" collapsed="false">
      <c r="B22" s="32"/>
      <c r="C22" s="14"/>
      <c r="D22" s="14"/>
      <c r="E22" s="14"/>
      <c r="F22" s="18" t="n">
        <f aca="false">C22-D22-E22</f>
        <v>0</v>
      </c>
      <c r="G22" s="7"/>
      <c r="H22" s="7"/>
      <c r="I22" s="7"/>
      <c r="J22" s="9" t="n">
        <f aca="false">H22+I22</f>
        <v>0</v>
      </c>
      <c r="K22" s="33" t="str">
        <f aca="false">IF(C22="","",F22+E22/2)</f>
        <v/>
      </c>
      <c r="L22" s="33" t="str">
        <f aca="false">IF(C22="","",D22+E22/2)</f>
        <v/>
      </c>
      <c r="M22" s="34" t="str">
        <f aca="false">IF(AND(ISNUMBER(C22),C22&gt;0,ISNUMBER(G22),ISNUMBER(N22)),(H22+I22-N22)/C22,"")</f>
        <v/>
      </c>
      <c r="N22" s="35"/>
    </row>
    <row r="23" customFormat="false" ht="15.75" hidden="false" customHeight="true" outlineLevel="0" collapsed="false">
      <c r="B23" s="32"/>
      <c r="C23" s="14"/>
      <c r="D23" s="14"/>
      <c r="E23" s="14"/>
      <c r="F23" s="18" t="n">
        <f aca="false">C23-D23-E23</f>
        <v>0</v>
      </c>
      <c r="G23" s="7"/>
      <c r="H23" s="7"/>
      <c r="I23" s="7"/>
      <c r="J23" s="9" t="n">
        <f aca="false">H23+I23</f>
        <v>0</v>
      </c>
      <c r="K23" s="33" t="str">
        <f aca="false">IF(C23="","",F23+E23/2)</f>
        <v/>
      </c>
      <c r="L23" s="33" t="str">
        <f aca="false">IF(C23="","",D23+E23/2)</f>
        <v/>
      </c>
      <c r="M23" s="34" t="str">
        <f aca="false">IF(AND(ISNUMBER(C23),C23&gt;0,ISNUMBER(G23),ISNUMBER(N23)),(H23+I23-N23)/C23,"")</f>
        <v/>
      </c>
      <c r="N23" s="35"/>
    </row>
    <row r="24" customFormat="false" ht="15.75" hidden="false" customHeight="true" outlineLevel="0" collapsed="false">
      <c r="B24" s="32"/>
      <c r="C24" s="14"/>
      <c r="D24" s="14"/>
      <c r="E24" s="14"/>
      <c r="F24" s="18" t="n">
        <f aca="false">C24-D24-E24</f>
        <v>0</v>
      </c>
      <c r="G24" s="7"/>
      <c r="H24" s="7"/>
      <c r="I24" s="7"/>
      <c r="J24" s="9" t="n">
        <f aca="false">H24+I24</f>
        <v>0</v>
      </c>
      <c r="K24" s="33" t="str">
        <f aca="false">IF(C24="","",F24+E24/2)</f>
        <v/>
      </c>
      <c r="L24" s="33" t="str">
        <f aca="false">IF(C24="","",D24+E24/2)</f>
        <v/>
      </c>
      <c r="M24" s="34" t="str">
        <f aca="false">IF(AND(ISNUMBER(C24),C24&gt;0,ISNUMBER(G24),ISNUMBER(N24)),(H24+I24-N24)/C24,"")</f>
        <v/>
      </c>
      <c r="N24" s="35"/>
    </row>
    <row r="25" customFormat="false" ht="15.75" hidden="false" customHeight="true" outlineLevel="0" collapsed="false">
      <c r="B25" s="32"/>
      <c r="C25" s="14"/>
      <c r="D25" s="14"/>
      <c r="E25" s="14"/>
      <c r="F25" s="18" t="n">
        <f aca="false">C25-D25-E25</f>
        <v>0</v>
      </c>
      <c r="G25" s="7"/>
      <c r="H25" s="7"/>
      <c r="I25" s="7"/>
      <c r="J25" s="9" t="n">
        <f aca="false">H25+I25</f>
        <v>0</v>
      </c>
      <c r="K25" s="33" t="str">
        <f aca="false">IF(C25="","",F25+E25/2)</f>
        <v/>
      </c>
      <c r="L25" s="33" t="str">
        <f aca="false">IF(C25="","",D25+E25/2)</f>
        <v/>
      </c>
      <c r="M25" s="34" t="str">
        <f aca="false">IF(AND(ISNUMBER(C25),C25&gt;0,ISNUMBER(G25),ISNUMBER(N25)),(H25+I25-N25)/C25,"")</f>
        <v/>
      </c>
      <c r="N25" s="35"/>
    </row>
    <row r="26" customFormat="false" ht="15.75" hidden="false" customHeight="true" outlineLevel="0" collapsed="false">
      <c r="B26" s="32"/>
      <c r="C26" s="14"/>
      <c r="D26" s="14"/>
      <c r="E26" s="14"/>
      <c r="F26" s="18" t="n">
        <f aca="false">C26-D26-E26</f>
        <v>0</v>
      </c>
      <c r="G26" s="7"/>
      <c r="H26" s="7"/>
      <c r="I26" s="7"/>
      <c r="J26" s="9" t="n">
        <f aca="false">H26+I26</f>
        <v>0</v>
      </c>
      <c r="K26" s="33" t="str">
        <f aca="false">IF(C26="","",F26+E26/2)</f>
        <v/>
      </c>
      <c r="L26" s="33" t="str">
        <f aca="false">IF(C26="","",D26+E26/2)</f>
        <v/>
      </c>
      <c r="M26" s="34" t="str">
        <f aca="false">IF(AND(ISNUMBER(C26),C26&gt;0,ISNUMBER(G26),ISNUMBER(N26)),(H26+I26-N26)/C26,"")</f>
        <v/>
      </c>
      <c r="N26" s="35"/>
    </row>
    <row r="27" customFormat="false" ht="15.75" hidden="false" customHeight="true" outlineLevel="0" collapsed="false">
      <c r="B27" s="32"/>
      <c r="C27" s="14"/>
      <c r="D27" s="14"/>
      <c r="E27" s="14"/>
      <c r="F27" s="18" t="n">
        <f aca="false">C27-D27-E27</f>
        <v>0</v>
      </c>
      <c r="G27" s="7"/>
      <c r="H27" s="7"/>
      <c r="I27" s="7"/>
      <c r="J27" s="9" t="n">
        <f aca="false">H27+I27</f>
        <v>0</v>
      </c>
      <c r="K27" s="33" t="str">
        <f aca="false">IF(C27="","",F27+E27/2)</f>
        <v/>
      </c>
      <c r="L27" s="33" t="str">
        <f aca="false">IF(C27="","",D27+E27/2)</f>
        <v/>
      </c>
      <c r="M27" s="34" t="str">
        <f aca="false">IF(AND(ISNUMBER(C27),C27&gt;0,ISNUMBER(G27),ISNUMBER(N27)),(H27+I27-N27)/C27,"")</f>
        <v/>
      </c>
      <c r="N27" s="35"/>
    </row>
    <row r="28" customFormat="false" ht="15.75" hidden="false" customHeight="true" outlineLevel="0" collapsed="false">
      <c r="B28" s="32"/>
      <c r="C28" s="14"/>
      <c r="D28" s="14"/>
      <c r="E28" s="14"/>
      <c r="F28" s="18" t="n">
        <f aca="false">C28-D28-E28</f>
        <v>0</v>
      </c>
      <c r="G28" s="7"/>
      <c r="H28" s="7"/>
      <c r="I28" s="7"/>
      <c r="J28" s="9" t="n">
        <f aca="false">H28+I28</f>
        <v>0</v>
      </c>
      <c r="K28" s="33" t="str">
        <f aca="false">IF(C28="","",F28+E28/2)</f>
        <v/>
      </c>
      <c r="L28" s="33" t="str">
        <f aca="false">IF(C28="","",D28+E28/2)</f>
        <v/>
      </c>
      <c r="M28" s="34" t="str">
        <f aca="false">IF(AND(ISNUMBER(C28),C28&gt;0,ISNUMBER(G28),ISNUMBER(N28)),(H28+I28-N28)/C28,"")</f>
        <v/>
      </c>
      <c r="N28" s="35"/>
    </row>
    <row r="29" customFormat="false" ht="15" hidden="false" customHeight="false" outlineLevel="0" collapsed="false">
      <c r="B29" s="32"/>
      <c r="C29" s="14"/>
      <c r="D29" s="14"/>
      <c r="E29" s="14"/>
      <c r="F29" s="18" t="n">
        <f aca="false">C29-D29-E29</f>
        <v>0</v>
      </c>
      <c r="G29" s="7"/>
      <c r="H29" s="7"/>
      <c r="I29" s="7"/>
      <c r="J29" s="9" t="n">
        <f aca="false">H29+I29</f>
        <v>0</v>
      </c>
      <c r="K29" s="33" t="str">
        <f aca="false">IF(C29="","",F29+E29/2)</f>
        <v/>
      </c>
      <c r="L29" s="33" t="str">
        <f aca="false">IF(C29="","",D29+E29/2)</f>
        <v/>
      </c>
      <c r="M29" s="34" t="str">
        <f aca="false">IF(AND(ISNUMBER(C29),C29&gt;0,ISNUMBER(G29),ISNUMBER(N29)),(H29+I29-N29)/C29,"")</f>
        <v/>
      </c>
      <c r="N29" s="35"/>
    </row>
    <row r="30" customFormat="false" ht="15" hidden="false" customHeight="false" outlineLevel="0" collapsed="false">
      <c r="B30" s="32"/>
      <c r="C30" s="14"/>
      <c r="D30" s="14"/>
      <c r="E30" s="14"/>
      <c r="F30" s="18" t="n">
        <f aca="false">C30-D30-E30</f>
        <v>0</v>
      </c>
      <c r="G30" s="7"/>
      <c r="H30" s="7"/>
      <c r="I30" s="7"/>
      <c r="J30" s="9" t="n">
        <f aca="false">H30+I30</f>
        <v>0</v>
      </c>
      <c r="K30" s="33" t="str">
        <f aca="false">IF(C30="","",F30+E30/2)</f>
        <v/>
      </c>
      <c r="L30" s="33" t="str">
        <f aca="false">IF(C30="","",D30+E30/2)</f>
        <v/>
      </c>
      <c r="M30" s="34" t="str">
        <f aca="false">IF(AND(ISNUMBER(C30),C30&gt;0,ISNUMBER(G30),ISNUMBER(N30)),(H30+I30-N30)/C30,"")</f>
        <v/>
      </c>
      <c r="N30" s="35"/>
    </row>
    <row r="31" customFormat="false" ht="15" hidden="false" customHeight="false" outlineLevel="0" collapsed="false">
      <c r="F31" s="36" t="n">
        <f aca="false">C31-D31-E31</f>
        <v>0</v>
      </c>
      <c r="J31" s="36" t="n">
        <f aca="false">H31+I31</f>
        <v>0</v>
      </c>
      <c r="K31" s="33" t="str">
        <f aca="false">IF(C31="","",F31+E31/2)</f>
        <v/>
      </c>
      <c r="L31" s="33" t="str">
        <f aca="false">IF(C31="","",D31+E31/2)</f>
        <v/>
      </c>
      <c r="M31" s="34" t="str">
        <f aca="false">IF(AND(ISNUMBER(C31),C31&gt;0,ISNUMBER(G31),ISNUMBER(N31)),(H31+I31-N31)/C31,"")</f>
        <v/>
      </c>
      <c r="N31" s="35"/>
    </row>
  </sheetData>
  <mergeCells count="4">
    <mergeCell ref="A1:J1"/>
    <mergeCell ref="A2:J2"/>
    <mergeCell ref="A5:J5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Z58"/>
  <sheetViews>
    <sheetView showFormulas="false" showGridLines="true" showRowColHeaders="true" showZeros="true" rightToLeft="false" tabSelected="false" showOutlineSymbols="true" defaultGridColor="true" view="normal" topLeftCell="A42" colorId="64" zoomScale="100" zoomScaleNormal="100" zoomScalePageLayoutView="100" workbookViewId="0">
      <selection pane="topLeft" activeCell="AA6" activeCellId="0" sqref="AA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42"/>
    <col collapsed="false" customWidth="true" hidden="false" outlineLevel="0" max="25" min="2" style="0" width="9.42"/>
  </cols>
  <sheetData>
    <row r="1" customFormat="false" ht="31.5" hidden="false" customHeight="true" outlineLevel="0" collapsed="false">
      <c r="A1" s="37" t="s">
        <v>121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customFormat="false" ht="15.75" hidden="false" customHeight="true" outlineLevel="0" collapsed="false">
      <c r="A2" s="38" t="s">
        <v>122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customFormat="false" ht="7.5" hidden="false" customHeight="true" outlineLevel="0" collapsed="false"/>
    <row r="4" customFormat="false" ht="18" hidden="false" customHeight="true" outlineLevel="0" collapsed="false">
      <c r="B4" s="39" t="s">
        <v>123</v>
      </c>
      <c r="C4" s="39"/>
      <c r="D4" s="39"/>
      <c r="E4" s="39"/>
      <c r="F4" s="39"/>
      <c r="G4" s="40" t="s">
        <v>124</v>
      </c>
      <c r="H4" s="40"/>
      <c r="I4" s="40"/>
      <c r="J4" s="40"/>
      <c r="K4" s="40"/>
      <c r="L4" s="41" t="s">
        <v>125</v>
      </c>
      <c r="M4" s="41"/>
      <c r="N4" s="41"/>
      <c r="O4" s="41"/>
      <c r="P4" s="41"/>
      <c r="Q4" s="42" t="s">
        <v>126</v>
      </c>
      <c r="R4" s="42"/>
      <c r="S4" s="42"/>
      <c r="T4" s="42"/>
      <c r="U4" s="42"/>
      <c r="V4" s="43" t="s">
        <v>127</v>
      </c>
      <c r="W4" s="43"/>
      <c r="X4" s="43"/>
      <c r="Y4" s="43"/>
      <c r="Z4" s="43"/>
    </row>
    <row r="5" customFormat="false" ht="15" hidden="false" customHeight="false" outlineLevel="0" collapsed="false">
      <c r="B5" s="44" t="n">
        <f aca="false">Obliczenia!C28</f>
        <v>462.5784</v>
      </c>
      <c r="C5" s="44"/>
      <c r="D5" s="44"/>
      <c r="E5" s="44"/>
      <c r="F5" s="44"/>
      <c r="G5" s="45" t="n">
        <f aca="false">Obliczenia!C27</f>
        <v>258.183707720588</v>
      </c>
      <c r="H5" s="45"/>
      <c r="I5" s="45"/>
      <c r="J5" s="45"/>
      <c r="K5" s="45"/>
      <c r="L5" s="46" t="n">
        <f aca="false">Obliczenia!D27</f>
        <v>204.394692279412</v>
      </c>
      <c r="M5" s="46"/>
      <c r="N5" s="46"/>
      <c r="O5" s="46"/>
      <c r="P5" s="46"/>
      <c r="Q5" s="47" t="n">
        <f aca="false">'Dane wejściowe'!C22</f>
        <v>480</v>
      </c>
      <c r="R5" s="47"/>
      <c r="S5" s="47"/>
      <c r="T5" s="47"/>
      <c r="U5" s="47"/>
      <c r="V5" s="48" t="n">
        <f aca="false">Obliczenia!C19</f>
        <v>0.83891125</v>
      </c>
      <c r="W5" s="48"/>
      <c r="X5" s="48"/>
      <c r="Y5" s="48"/>
      <c r="Z5" s="48"/>
    </row>
    <row r="6" customFormat="false" ht="15" hidden="false" customHeight="false" outlineLevel="0" collapsed="false">
      <c r="B6" s="44"/>
      <c r="C6" s="44"/>
      <c r="D6" s="44"/>
      <c r="E6" s="44"/>
      <c r="F6" s="44"/>
      <c r="G6" s="45"/>
      <c r="H6" s="45"/>
      <c r="I6" s="45"/>
      <c r="J6" s="45"/>
      <c r="K6" s="45"/>
      <c r="L6" s="46"/>
      <c r="M6" s="46"/>
      <c r="N6" s="46"/>
      <c r="O6" s="46"/>
      <c r="P6" s="46"/>
      <c r="Q6" s="47"/>
      <c r="R6" s="47"/>
      <c r="S6" s="47"/>
      <c r="T6" s="47"/>
      <c r="U6" s="47"/>
      <c r="V6" s="48"/>
      <c r="W6" s="48"/>
      <c r="X6" s="48"/>
      <c r="Y6" s="48"/>
      <c r="Z6" s="48"/>
    </row>
    <row r="7" customFormat="false" ht="15" hidden="false" customHeight="false" outlineLevel="0" collapsed="false">
      <c r="B7" s="44"/>
      <c r="C7" s="44"/>
      <c r="D7" s="44"/>
      <c r="E7" s="44"/>
      <c r="F7" s="44"/>
      <c r="G7" s="45"/>
      <c r="H7" s="45"/>
      <c r="I7" s="45"/>
      <c r="J7" s="45"/>
      <c r="K7" s="45"/>
      <c r="L7" s="46"/>
      <c r="M7" s="46"/>
      <c r="N7" s="46"/>
      <c r="O7" s="46"/>
      <c r="P7" s="46"/>
      <c r="Q7" s="47"/>
      <c r="R7" s="47"/>
      <c r="S7" s="47"/>
      <c r="T7" s="47"/>
      <c r="U7" s="47"/>
      <c r="V7" s="48"/>
      <c r="W7" s="48"/>
      <c r="X7" s="48"/>
      <c r="Y7" s="48"/>
      <c r="Z7" s="48"/>
    </row>
    <row r="8" customFormat="false" ht="13.5" hidden="false" customHeight="true" outlineLevel="0" collapsed="false">
      <c r="B8" s="49" t="s">
        <v>128</v>
      </c>
      <c r="C8" s="49"/>
      <c r="D8" s="49"/>
      <c r="E8" s="49"/>
      <c r="F8" s="49"/>
      <c r="G8" s="50" t="s">
        <v>129</v>
      </c>
      <c r="H8" s="50"/>
      <c r="I8" s="50"/>
      <c r="J8" s="50"/>
      <c r="K8" s="50"/>
      <c r="L8" s="51" t="s">
        <v>129</v>
      </c>
      <c r="M8" s="51"/>
      <c r="N8" s="51"/>
      <c r="O8" s="51"/>
      <c r="P8" s="51"/>
      <c r="Q8" s="52" t="s">
        <v>128</v>
      </c>
      <c r="R8" s="52"/>
      <c r="S8" s="52"/>
      <c r="T8" s="52"/>
      <c r="U8" s="52"/>
      <c r="V8" s="53" t="s">
        <v>128</v>
      </c>
      <c r="W8" s="53"/>
      <c r="X8" s="53"/>
      <c r="Y8" s="53"/>
      <c r="Z8" s="53"/>
    </row>
    <row r="9" customFormat="false" ht="7.5" hidden="false" customHeight="true" outlineLevel="0" collapsed="false"/>
    <row r="10" customFormat="false" ht="18" hidden="false" customHeight="true" outlineLevel="0" collapsed="false">
      <c r="B10" s="54" t="s">
        <v>130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O10" s="54" t="s">
        <v>131</v>
      </c>
      <c r="P10" s="54"/>
      <c r="Q10" s="54"/>
      <c r="R10" s="54"/>
      <c r="S10" s="54"/>
      <c r="T10" s="54"/>
      <c r="U10" s="54"/>
      <c r="V10" s="54"/>
      <c r="W10" s="54"/>
      <c r="X10" s="54"/>
      <c r="Y10" s="54"/>
    </row>
    <row r="30" customFormat="false" ht="18" hidden="false" customHeight="true" outlineLevel="0" collapsed="false">
      <c r="B30" s="54" t="s">
        <v>132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O30" s="54" t="s">
        <v>133</v>
      </c>
      <c r="P30" s="54"/>
      <c r="Q30" s="54"/>
      <c r="R30" s="54"/>
      <c r="S30" s="54"/>
      <c r="T30" s="54"/>
      <c r="U30" s="54"/>
      <c r="V30" s="54"/>
      <c r="W30" s="54"/>
      <c r="X30" s="54"/>
      <c r="Y30" s="54"/>
    </row>
    <row r="44" customFormat="false" ht="18" hidden="false" customHeight="true" outlineLevel="0" collapsed="false">
      <c r="B44" s="54" t="s">
        <v>134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customFormat="false" ht="15" hidden="false" customHeight="true" outlineLevel="0" collapsed="false">
      <c r="B45" s="55" t="s">
        <v>61</v>
      </c>
      <c r="C45" s="55" t="s">
        <v>62</v>
      </c>
      <c r="D45" s="55" t="s">
        <v>135</v>
      </c>
      <c r="E45" s="55" t="s">
        <v>136</v>
      </c>
      <c r="F45" s="55" t="s">
        <v>135</v>
      </c>
    </row>
    <row r="46" customFormat="false" ht="15.75" hidden="false" customHeight="true" outlineLevel="0" collapsed="false">
      <c r="B46" s="56" t="s">
        <v>93</v>
      </c>
      <c r="C46" s="56"/>
      <c r="D46" s="57" t="n">
        <f aca="false">Obliczenia!C11</f>
        <v>272.058823529412</v>
      </c>
      <c r="E46" s="57"/>
      <c r="F46" s="58" t="n">
        <f aca="false">IFERROR(Obliczenia!C11/'Dane wejściowe'!C22,0)</f>
        <v>0.566789215686275</v>
      </c>
      <c r="G46" s="58"/>
      <c r="H46" s="59" t="n">
        <f aca="false">Obliczenia!C27</f>
        <v>258.183707720588</v>
      </c>
      <c r="I46" s="59"/>
      <c r="J46" s="58" t="n">
        <f aca="false">IFERROR(Obliczenia!C27/Obliczenia!C28,0)</f>
        <v>0.558140431374635</v>
      </c>
      <c r="K46" s="58"/>
      <c r="L46" s="60"/>
      <c r="M46" s="60"/>
    </row>
    <row r="47" customFormat="false" ht="15.75" hidden="false" customHeight="true" outlineLevel="0" collapsed="false">
      <c r="B47" s="61" t="s">
        <v>94</v>
      </c>
      <c r="C47" s="61"/>
      <c r="D47" s="62" t="n">
        <f aca="false">Obliczenia!C12</f>
        <v>207.941176470588</v>
      </c>
      <c r="E47" s="62"/>
      <c r="F47" s="63" t="n">
        <f aca="false">IFERROR(Obliczenia!C12/'Dane wejściowe'!C22,0)</f>
        <v>0.433210784313726</v>
      </c>
      <c r="G47" s="63"/>
      <c r="H47" s="64" t="n">
        <f aca="false">Obliczenia!D27</f>
        <v>204.394692279412</v>
      </c>
      <c r="I47" s="64"/>
      <c r="J47" s="63" t="n">
        <f aca="false">IFERROR(Obliczenia!D27/Obliczenia!C28,0)</f>
        <v>0.441859568625366</v>
      </c>
      <c r="K47" s="63"/>
      <c r="L47" s="60"/>
      <c r="M47" s="60"/>
    </row>
    <row r="48" customFormat="false" ht="15.75" hidden="false" customHeight="true" outlineLevel="0" collapsed="false">
      <c r="B48" s="65" t="s">
        <v>137</v>
      </c>
      <c r="C48" s="65"/>
      <c r="D48" s="66" t="n">
        <f aca="false">'Dane wejściowe'!C42</f>
        <v>255.882352941176</v>
      </c>
      <c r="E48" s="66"/>
      <c r="F48" s="67" t="n">
        <f aca="false">IFERROR('Dane wejściowe'!C42/'Dane wejściowe'!C22,0)</f>
        <v>0.533088235294118</v>
      </c>
      <c r="G48" s="67"/>
      <c r="H48" s="68" t="n">
        <f aca="false">IFERROR('Dane wejściowe'!C42*Obliczenia!C19,0)</f>
        <v>214.662584558824</v>
      </c>
      <c r="I48" s="68"/>
      <c r="J48" s="67" t="n">
        <f aca="false">IFERROR('Dane wejściowe'!C42*Obliczenia!C19/Obliczenia!C28,0)</f>
        <v>0.46405665409112</v>
      </c>
      <c r="K48" s="67"/>
      <c r="L48" s="60"/>
      <c r="M48" s="60"/>
    </row>
    <row r="49" customFormat="false" ht="15.75" hidden="false" customHeight="true" outlineLevel="0" collapsed="false">
      <c r="B49" s="69" t="s">
        <v>98</v>
      </c>
      <c r="C49" s="69"/>
      <c r="D49" s="70" t="n">
        <f aca="false">'Dane wejściowe'!C22</f>
        <v>480</v>
      </c>
      <c r="E49" s="70"/>
      <c r="F49" s="71" t="s">
        <v>138</v>
      </c>
      <c r="G49" s="71"/>
      <c r="H49" s="72" t="n">
        <f aca="false">Obliczenia!C28</f>
        <v>462.5784</v>
      </c>
      <c r="I49" s="72"/>
      <c r="J49" s="71" t="s">
        <v>138</v>
      </c>
      <c r="K49" s="71"/>
      <c r="L49" s="60"/>
      <c r="M49" s="60"/>
    </row>
    <row r="50" customFormat="false" ht="18" hidden="false" customHeight="true" outlineLevel="0" collapsed="false">
      <c r="B50" s="54" t="s">
        <v>139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</row>
    <row r="51" customFormat="false" ht="15" hidden="false" customHeight="true" outlineLevel="0" collapsed="false">
      <c r="B51" s="73" t="s">
        <v>140</v>
      </c>
      <c r="C51" s="73"/>
      <c r="D51" s="73"/>
      <c r="E51" s="73" t="s">
        <v>93</v>
      </c>
      <c r="F51" s="73"/>
      <c r="G51" s="73" t="s">
        <v>94</v>
      </c>
      <c r="H51" s="73"/>
      <c r="I51" s="73" t="s">
        <v>95</v>
      </c>
      <c r="J51" s="73"/>
      <c r="K51" s="73" t="s">
        <v>63</v>
      </c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</row>
    <row r="52" customFormat="false" ht="15.75" hidden="false" customHeight="true" outlineLevel="0" collapsed="false">
      <c r="B52" s="74" t="s">
        <v>141</v>
      </c>
      <c r="C52" s="74"/>
      <c r="D52" s="74"/>
      <c r="E52" s="75" t="n">
        <f aca="false">IFERROR(AVERAGEIF('Historia miesięczna'!H8:H31, "&gt;0", 'Historia miesięczna'!H8:H31), "-")</f>
        <v>268.12</v>
      </c>
      <c r="F52" s="75"/>
      <c r="G52" s="75" t="n">
        <f aca="false">IFERROR(AVERAGEIF('Historia miesięczna'!I8:I31, "&gt;0", 'Historia miesięczna'!I8:I31), "-")</f>
        <v>197.45</v>
      </c>
      <c r="H52" s="75"/>
      <c r="I52" s="76" t="n">
        <f aca="false">IFERROR(AVERAGEIF('Historia miesięczna'!G8:G31, "&gt;0", 'Historia miesięczna'!G8:G31), "-")</f>
        <v>442.95</v>
      </c>
      <c r="J52" s="76"/>
      <c r="K52" s="77" t="s">
        <v>142</v>
      </c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</row>
    <row r="53" customFormat="false" ht="15.75" hidden="false" customHeight="true" outlineLevel="0" collapsed="false">
      <c r="B53" s="74" t="s">
        <v>143</v>
      </c>
      <c r="C53" s="74"/>
      <c r="D53" s="74"/>
      <c r="E53" s="75" t="str">
        <f aca="false">IFERROR(_xludf.maxifs('Historia miesięczna'!H8:H31, 'Historia miesięczna'!H8:H31, "&gt;0"), "-")</f>
        <v>-</v>
      </c>
      <c r="F53" s="75"/>
      <c r="G53" s="75" t="str">
        <f aca="false">IFERROR(_xludf.maxifs('Historia miesięczna'!I8:I31, 'Historia miesięczna'!I8:I31, "&gt;0"), "-")</f>
        <v>-</v>
      </c>
      <c r="H53" s="75"/>
      <c r="I53" s="76" t="str">
        <f aca="false">IFERROR(_xludf.maxifs('Historia miesięczna'!G8:G31, 'Historia miesięczna'!G8:G31, "&gt;0"), "-")</f>
        <v>-</v>
      </c>
      <c r="J53" s="76"/>
    </row>
    <row r="54" customFormat="false" ht="15.75" hidden="false" customHeight="true" outlineLevel="0" collapsed="false">
      <c r="B54" s="74" t="s">
        <v>144</v>
      </c>
      <c r="C54" s="74"/>
      <c r="D54" s="74"/>
      <c r="E54" s="75" t="str">
        <f aca="false">IFERROR(_xludf.minifs('Historia miesięczna'!H8:H31, 'Historia miesięczna'!H8:H31, "&gt;0"), "-")</f>
        <v>-</v>
      </c>
      <c r="F54" s="75"/>
      <c r="G54" s="75" t="str">
        <f aca="false">IFERROR(_xludf.minifs('Historia miesięczna'!I8:I31, 'Historia miesięczna'!I8:I31, "&gt;0"), "-")</f>
        <v>-</v>
      </c>
      <c r="H54" s="75"/>
      <c r="I54" s="76" t="str">
        <f aca="false">IFERROR(_xludf.minifs('Historia miesięczna'!G8:G31, 'Historia miesięczna'!G8:G31, "&gt;0"), "-")</f>
        <v>-</v>
      </c>
      <c r="J54" s="76"/>
    </row>
    <row r="55" customFormat="false" ht="15.75" hidden="false" customHeight="true" outlineLevel="0" collapsed="false">
      <c r="B55" s="74" t="s">
        <v>145</v>
      </c>
      <c r="C55" s="74"/>
      <c r="D55" s="74"/>
      <c r="E55" s="78" t="n">
        <f aca="false">IFERROR(SUMIF('Historia miesięczna'!K8:K31, "&gt;0", 'Historia miesięczna'!K8:K31), "-")</f>
        <v>500.74</v>
      </c>
      <c r="F55" s="78"/>
      <c r="G55" s="78" t="n">
        <f aca="false">IFERROR(SUMIF('Historia miesięczna'!L8:L31, "&gt;0", 'Historia miesięczna'!L8:L31), "-")</f>
        <v>432.26</v>
      </c>
      <c r="H55" s="78"/>
      <c r="I55" s="79" t="n">
        <f aca="false">IFERROR(SUMIF('Historia miesięczna'!C8:C31, "&gt;0", 'Historia miesięczna'!C8:C31), "-")</f>
        <v>932</v>
      </c>
      <c r="J55" s="79"/>
      <c r="K55" s="77" t="s">
        <v>146</v>
      </c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</row>
    <row r="56" customFormat="false" ht="15.75" hidden="false" customHeight="true" outlineLevel="0" collapsed="false">
      <c r="B56" s="74" t="s">
        <v>147</v>
      </c>
      <c r="C56" s="74"/>
      <c r="D56" s="74"/>
      <c r="E56" s="78" t="n">
        <f aca="false">IFERROR(AVERAGEIF('Historia miesięczna'!K8:K31, "&gt;0", 'Historia miesięczna'!K8:K31), "-")</f>
        <v>250.37</v>
      </c>
      <c r="F56" s="78"/>
      <c r="G56" s="78" t="n">
        <f aca="false">IFERROR(AVERAGEIF('Historia miesięczna'!L8:L31, "&gt;0", 'Historia miesięczna'!L8:L31), "-")</f>
        <v>216.13</v>
      </c>
      <c r="H56" s="78"/>
      <c r="I56" s="79" t="n">
        <f aca="false">IFERROR(AVERAGEIF('Historia miesięczna'!C8:C31, "&gt;0", 'Historia miesięczna'!C8:C31), "-")</f>
        <v>466</v>
      </c>
      <c r="J56" s="79"/>
    </row>
    <row r="57" customFormat="false" ht="15.75" hidden="false" customHeight="true" outlineLevel="0" collapsed="false">
      <c r="B57" s="74" t="s">
        <v>148</v>
      </c>
      <c r="C57" s="74"/>
      <c r="D57" s="74"/>
      <c r="E57" s="75" t="n">
        <f aca="false">IFERROR(SUMIF('Historia miesięczna'!H8:H31, "&gt;0", 'Historia miesięczna'!H8:H31), "-")</f>
        <v>536.24</v>
      </c>
      <c r="F57" s="75"/>
      <c r="G57" s="75" t="n">
        <f aca="false">IFERROR(SUMIF('Historia miesięczna'!I8:I31, "&gt;0", 'Historia miesięczna'!I8:I31), "-")</f>
        <v>394.9</v>
      </c>
      <c r="H57" s="75"/>
      <c r="I57" s="76" t="n">
        <f aca="false">IFERROR(SUMIF('Historia miesięczna'!G8:G31, "&gt;0", 'Historia miesięczna'!G8:G31), "-")</f>
        <v>885.9</v>
      </c>
      <c r="J57" s="76"/>
      <c r="K57" s="77" t="s">
        <v>149</v>
      </c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</row>
    <row r="58" customFormat="false" ht="15.75" hidden="false" customHeight="true" outlineLevel="0" collapsed="false">
      <c r="B58" s="74" t="s">
        <v>150</v>
      </c>
      <c r="C58" s="74"/>
      <c r="D58" s="74"/>
      <c r="E58" s="80" t="n">
        <f aca="false">COUNTA('Historia miesięczna'!H8:H31)</f>
        <v>2</v>
      </c>
      <c r="F58" s="80"/>
      <c r="G58" s="80" t="n">
        <f aca="false">COUNTA('Historia miesięczna'!I8:I31)</f>
        <v>2</v>
      </c>
      <c r="H58" s="80"/>
      <c r="I58" s="81" t="n">
        <f aca="false">COUNTA('Historia miesięczna'!G8:G31)</f>
        <v>2</v>
      </c>
      <c r="J58" s="81"/>
    </row>
  </sheetData>
  <mergeCells count="83">
    <mergeCell ref="A1:Y1"/>
    <mergeCell ref="A2:Y2"/>
    <mergeCell ref="B4:F4"/>
    <mergeCell ref="G4:K4"/>
    <mergeCell ref="L4:P4"/>
    <mergeCell ref="Q4:U4"/>
    <mergeCell ref="V4:Z4"/>
    <mergeCell ref="B5:F7"/>
    <mergeCell ref="G5:K7"/>
    <mergeCell ref="L5:P7"/>
    <mergeCell ref="Q5:U7"/>
    <mergeCell ref="V5:Z7"/>
    <mergeCell ref="B8:F8"/>
    <mergeCell ref="G8:K8"/>
    <mergeCell ref="L8:P8"/>
    <mergeCell ref="Q8:U8"/>
    <mergeCell ref="V8:Z8"/>
    <mergeCell ref="B10:M10"/>
    <mergeCell ref="O10:Y10"/>
    <mergeCell ref="B30:M30"/>
    <mergeCell ref="O30:Y30"/>
    <mergeCell ref="B44:M44"/>
    <mergeCell ref="B46:C46"/>
    <mergeCell ref="D46:E46"/>
    <mergeCell ref="F46:G46"/>
    <mergeCell ref="H46:I46"/>
    <mergeCell ref="J46:K46"/>
    <mergeCell ref="L46:M46"/>
    <mergeCell ref="B47:C47"/>
    <mergeCell ref="D47:E47"/>
    <mergeCell ref="F47:G47"/>
    <mergeCell ref="H47:I47"/>
    <mergeCell ref="J47:K47"/>
    <mergeCell ref="L47:M47"/>
    <mergeCell ref="B48:C48"/>
    <mergeCell ref="D48:E48"/>
    <mergeCell ref="F48:G48"/>
    <mergeCell ref="H48:I48"/>
    <mergeCell ref="J48:K48"/>
    <mergeCell ref="L48:M48"/>
    <mergeCell ref="B49:C49"/>
    <mergeCell ref="D49:E49"/>
    <mergeCell ref="F49:G49"/>
    <mergeCell ref="H49:I49"/>
    <mergeCell ref="J49:K49"/>
    <mergeCell ref="L49:M49"/>
    <mergeCell ref="B50:Y50"/>
    <mergeCell ref="B51:D51"/>
    <mergeCell ref="E51:F51"/>
    <mergeCell ref="G51:H51"/>
    <mergeCell ref="I51:J51"/>
    <mergeCell ref="K51:Y51"/>
    <mergeCell ref="B52:D52"/>
    <mergeCell ref="E52:F52"/>
    <mergeCell ref="G52:H52"/>
    <mergeCell ref="I52:J52"/>
    <mergeCell ref="K52:Y52"/>
    <mergeCell ref="B53:D53"/>
    <mergeCell ref="E53:F53"/>
    <mergeCell ref="G53:H53"/>
    <mergeCell ref="I53:J53"/>
    <mergeCell ref="B54:D54"/>
    <mergeCell ref="E54:F54"/>
    <mergeCell ref="G54:H54"/>
    <mergeCell ref="I54:J54"/>
    <mergeCell ref="B55:D55"/>
    <mergeCell ref="E55:F55"/>
    <mergeCell ref="G55:H55"/>
    <mergeCell ref="I55:J55"/>
    <mergeCell ref="K55:Y55"/>
    <mergeCell ref="B56:D56"/>
    <mergeCell ref="E56:F56"/>
    <mergeCell ref="G56:H56"/>
    <mergeCell ref="I56:J56"/>
    <mergeCell ref="B57:D57"/>
    <mergeCell ref="E57:F57"/>
    <mergeCell ref="G57:H57"/>
    <mergeCell ref="I57:J57"/>
    <mergeCell ref="K57:Y57"/>
    <mergeCell ref="B58:D58"/>
    <mergeCell ref="E58:F58"/>
    <mergeCell ref="G58:H58"/>
    <mergeCell ref="I58:J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.75" hidden="false" customHeight="true" outlineLevel="0" collapsed="false">
      <c r="A1" s="82" t="s">
        <v>151</v>
      </c>
      <c r="B1" s="83" t="n">
        <v>6</v>
      </c>
    </row>
    <row r="3" customFormat="false" ht="15" hidden="false" customHeight="false" outlineLevel="0" collapsed="false">
      <c r="A3" s="84" t="s">
        <v>152</v>
      </c>
      <c r="B3" s="84" t="s">
        <v>153</v>
      </c>
      <c r="C3" s="84" t="s">
        <v>154</v>
      </c>
      <c r="D3" s="84" t="s">
        <v>155</v>
      </c>
      <c r="E3" s="84" t="s">
        <v>156</v>
      </c>
      <c r="F3" s="84" t="s">
        <v>157</v>
      </c>
      <c r="G3" s="84" t="s">
        <v>158</v>
      </c>
      <c r="H3" s="84" t="s">
        <v>159</v>
      </c>
      <c r="I3" s="84" t="s">
        <v>160</v>
      </c>
      <c r="J3" s="84" t="s">
        <v>161</v>
      </c>
    </row>
    <row r="4" customFormat="false" ht="15" hidden="false" customHeight="false" outlineLevel="0" collapsed="false">
      <c r="A4" s="0" t="n">
        <v>1</v>
      </c>
      <c r="B4" s="85" t="n">
        <f aca="false">IF(1&lt;=MIN($B$1,COUNTA('Historia miesięczna'!B8:B31)),INDEX('Historia miesięczna'!B8:B31,MAX(0,COUNTA('Historia miesięczna'!B8:B31)-MIN($B$1,COUNTA('Historia miesięczna'!B8:B31)))+1),"")</f>
        <v>46022</v>
      </c>
      <c r="C4" s="86" t="n">
        <f aca="false">IF(1&lt;=MIN($B$1,COUNTA('Historia miesięczna'!B8:B31)),IFERROR(INDEX('Historia miesięczna'!C8:C31,MAX(0,COUNTA('Historia miesięczna'!B8:B31)-MIN($B$1,COUNTA('Historia miesięczna'!B8:B31)))+1),0),"")</f>
        <v>452</v>
      </c>
      <c r="D4" s="86" t="n">
        <f aca="false">IF(1&lt;=MIN($B$1,COUNTA('Historia miesięczna'!B8:B31)),IFERROR(INDEX('Historia miesięczna'!F8:F31,MAX(0,COUNTA('Historia miesięczna'!B8:B31)-MIN($B$1,COUNTA('Historia miesięczna'!B8:B31)))+1),0),"")</f>
        <v>178</v>
      </c>
      <c r="E4" s="86" t="n">
        <f aca="false">IF(1&lt;=MIN($B$1,COUNTA('Historia miesięczna'!B8:B31)),IFERROR(INDEX('Historia miesięczna'!D8:D31,MAX(0,COUNTA('Historia miesięczna'!B8:B31)-MIN($B$1,COUNTA('Historia miesięczna'!B8:B31)))+1),0),"")</f>
        <v>76</v>
      </c>
      <c r="F4" s="86" t="n">
        <f aca="false">IF(1&lt;=MIN($B$1,COUNTA('Historia miesięczna'!B8:B31)),IFERROR(INDEX('Historia miesięczna'!E8:E31,MAX(0,COUNTA('Historia miesięczna'!B8:B31)-MIN($B$1,COUNTA('Historia miesięczna'!B8:B31)))+1),0),"")</f>
        <v>198</v>
      </c>
      <c r="G4" s="87" t="n">
        <f aca="false">IF(1&lt;=MIN($B$1,COUNTA('Historia miesięczna'!B8:B31)),IFERROR(INDEX('Historia miesięczna'!G8:G31,MAX(0,COUNTA('Historia miesięczna'!B8:B31)-MIN($B$1,COUNTA('Historia miesięczna'!B8:B31)))+1),0),"")</f>
        <v>415.6</v>
      </c>
      <c r="H4" s="87" t="n">
        <f aca="false">IF(1&lt;=MIN($B$1,COUNTA('Historia miesięczna'!B8:B31)),IFERROR(INDEX('Historia miesięczna'!H8:H31,MAX(0,COUNTA('Historia miesięczna'!B8:B31)-MIN($B$1,COUNTA('Historia miesięczna'!B8:B31)))+1),0),"")</f>
        <v>268.17</v>
      </c>
      <c r="I4" s="87" t="n">
        <f aca="false">IF(1&lt;=MIN($B$1,COUNTA('Historia miesięczna'!B8:B31)),IFERROR(INDEX('Historia miesięczna'!I8:I31,MAX(0,COUNTA('Historia miesięczna'!B8:B31)-MIN($B$1,COUNTA('Historia miesięczna'!B8:B31)))+1),0),"")</f>
        <v>181.97</v>
      </c>
      <c r="J4" s="88" t="n">
        <f aca="false">IF(1&lt;=MIN($B$1,COUNTA('Historia miesięczna'!B8:B31)),IFERROR(INDEX('Historia miesięczna'!K8:K31,MAX(0,COUNTA('Historia miesięczna'!B8:B31)-MIN($B$1,COUNTA('Historia miesięczna'!B8:B31)))+1),0),"")</f>
        <v>243.74</v>
      </c>
    </row>
    <row r="5" customFormat="false" ht="15" hidden="false" customHeight="false" outlineLevel="0" collapsed="false">
      <c r="A5" s="0" t="n">
        <v>2</v>
      </c>
      <c r="B5" s="85" t="n">
        <f aca="false">IF(2&lt;=MIN($B$1,COUNTA('Historia miesięczna'!B8:B31)),INDEX('Historia miesięczna'!B8:B31,MAX(0,COUNTA('Historia miesięczna'!B8:B31)-MIN($B$1,COUNTA('Historia miesięczna'!B8:B31)))+2),"")</f>
        <v>46053</v>
      </c>
      <c r="C5" s="86" t="n">
        <f aca="false">IF(2&lt;=MIN($B$1,COUNTA('Historia miesięczna'!B8:B31)),IFERROR(INDEX('Historia miesięczna'!C8:C31,MAX(0,COUNTA('Historia miesięczna'!B8:B31)-MIN($B$1,COUNTA('Historia miesięczna'!B8:B31)))+2),0),"")</f>
        <v>480</v>
      </c>
      <c r="D5" s="86" t="n">
        <f aca="false">IF(2&lt;=MIN($B$1,COUNTA('Historia miesięczna'!B8:B31)),IFERROR(INDEX('Historia miesięczna'!F8:F31,MAX(0,COUNTA('Historia miesięczna'!B8:B31)-MIN($B$1,COUNTA('Historia miesięczna'!B8:B31)))+2),0),"")</f>
        <v>144.12</v>
      </c>
      <c r="E5" s="86" t="n">
        <f aca="false">IF(2&lt;=MIN($B$1,COUNTA('Historia miesięczna'!B8:B31)),IFERROR(INDEX('Historia miesięczna'!D8:D31,MAX(0,COUNTA('Historia miesięczna'!B8:B31)-MIN($B$1,COUNTA('Historia miesięczna'!B8:B31)))+2),0),"")</f>
        <v>80</v>
      </c>
      <c r="F5" s="86" t="n">
        <f aca="false">IF(2&lt;=MIN($B$1,COUNTA('Historia miesięczna'!B8:B31)),IFERROR(INDEX('Historia miesięczna'!E8:E31,MAX(0,COUNTA('Historia miesięczna'!B8:B31)-MIN($B$1,COUNTA('Historia miesięczna'!B8:B31)))+2),0),"")</f>
        <v>255.88</v>
      </c>
      <c r="G5" s="87" t="n">
        <f aca="false">IF(2&lt;=MIN($B$1,COUNTA('Historia miesięczna'!B8:B31)),IFERROR(INDEX('Historia miesięczna'!G8:G31,MAX(0,COUNTA('Historia miesięczna'!B8:B31)-MIN($B$1,COUNTA('Historia miesięczna'!B8:B31)))+2),0),"")</f>
        <v>470.3</v>
      </c>
      <c r="H5" s="87" t="n">
        <f aca="false">IF(2&lt;=MIN($B$1,COUNTA('Historia miesięczna'!B8:B31)),IFERROR(INDEX('Historia miesięczna'!H8:H31,MAX(0,COUNTA('Historia miesięczna'!B8:B31)-MIN($B$1,COUNTA('Historia miesięczna'!B8:B31)))+2),0),"")</f>
        <v>268.07</v>
      </c>
      <c r="I5" s="87" t="n">
        <f aca="false">IF(2&lt;=MIN($B$1,COUNTA('Historia miesięczna'!B8:B31)),IFERROR(INDEX('Historia miesięczna'!I8:I31,MAX(0,COUNTA('Historia miesięczna'!B8:B31)-MIN($B$1,COUNTA('Historia miesięczna'!B8:B31)))+2),0),"")</f>
        <v>212.93</v>
      </c>
      <c r="J5" s="88" t="n">
        <f aca="false">IF(2&lt;=MIN($B$1,COUNTA('Historia miesięczna'!B8:B31)),IFERROR(INDEX('Historia miesięczna'!K8:K31,MAX(0,COUNTA('Historia miesięczna'!B8:B31)-MIN($B$1,COUNTA('Historia miesięczna'!B8:B31)))+2),0),"")</f>
        <v>257</v>
      </c>
    </row>
    <row r="6" customFormat="false" ht="15" hidden="false" customHeight="false" outlineLevel="0" collapsed="false">
      <c r="A6" s="0" t="n">
        <v>3</v>
      </c>
      <c r="B6" s="85" t="str">
        <f aca="false">IF(3&lt;=MIN($B$1,COUNTA('Historia miesięczna'!B8:B31)),INDEX('Historia miesięczna'!B8:B31,MAX(0,COUNTA('Historia miesięczna'!B8:B31)-MIN($B$1,COUNTA('Historia miesięczna'!B8:B31)))+3),"")</f>
        <v/>
      </c>
      <c r="C6" s="86" t="str">
        <f aca="false">IF(3&lt;=MIN($B$1,COUNTA('Historia miesięczna'!B8:B31)),IFERROR(INDEX('Historia miesięczna'!C8:C31,MAX(0,COUNTA('Historia miesięczna'!B8:B31)-MIN($B$1,COUNTA('Historia miesięczna'!B8:B31)))+3),0),"")</f>
        <v/>
      </c>
      <c r="D6" s="86" t="str">
        <f aca="false">IF(3&lt;=MIN($B$1,COUNTA('Historia miesięczna'!B8:B31)),IFERROR(INDEX('Historia miesięczna'!F8:F31,MAX(0,COUNTA('Historia miesięczna'!B8:B31)-MIN($B$1,COUNTA('Historia miesięczna'!B8:B31)))+3),0),"")</f>
        <v/>
      </c>
      <c r="E6" s="86" t="str">
        <f aca="false">IF(3&lt;=MIN($B$1,COUNTA('Historia miesięczna'!B8:B31)),IFERROR(INDEX('Historia miesięczna'!D8:D31,MAX(0,COUNTA('Historia miesięczna'!B8:B31)-MIN($B$1,COUNTA('Historia miesięczna'!B8:B31)))+3),0),"")</f>
        <v/>
      </c>
      <c r="F6" s="86" t="str">
        <f aca="false">IF(3&lt;=MIN($B$1,COUNTA('Historia miesięczna'!B8:B31)),IFERROR(INDEX('Historia miesięczna'!E8:E31,MAX(0,COUNTA('Historia miesięczna'!B8:B31)-MIN($B$1,COUNTA('Historia miesięczna'!B8:B31)))+3),0),"")</f>
        <v/>
      </c>
      <c r="G6" s="87" t="str">
        <f aca="false">IF(3&lt;=MIN($B$1,COUNTA('Historia miesięczna'!B8:B31)),IFERROR(INDEX('Historia miesięczna'!G8:G31,MAX(0,COUNTA('Historia miesięczna'!B8:B31)-MIN($B$1,COUNTA('Historia miesięczna'!B8:B31)))+3),0),"")</f>
        <v/>
      </c>
      <c r="H6" s="87" t="str">
        <f aca="false">IF(3&lt;=MIN($B$1,COUNTA('Historia miesięczna'!B8:B31)),IFERROR(INDEX('Historia miesięczna'!H8:H31,MAX(0,COUNTA('Historia miesięczna'!B8:B31)-MIN($B$1,COUNTA('Historia miesięczna'!B8:B31)))+3),0),"")</f>
        <v/>
      </c>
      <c r="I6" s="87" t="str">
        <f aca="false">IF(3&lt;=MIN($B$1,COUNTA('Historia miesięczna'!B8:B31)),IFERROR(INDEX('Historia miesięczna'!I8:I31,MAX(0,COUNTA('Historia miesięczna'!B8:B31)-MIN($B$1,COUNTA('Historia miesięczna'!B8:B31)))+3),0),"")</f>
        <v/>
      </c>
      <c r="J6" s="88" t="str">
        <f aca="false">IF(3&lt;=MIN($B$1,COUNTA('Historia miesięczna'!B8:B31)),IFERROR(INDEX('Historia miesięczna'!K8:K31,MAX(0,COUNTA('Historia miesięczna'!B8:B31)-MIN($B$1,COUNTA('Historia miesięczna'!B8:B31)))+3),0),"")</f>
        <v/>
      </c>
    </row>
    <row r="7" customFormat="false" ht="15" hidden="false" customHeight="false" outlineLevel="0" collapsed="false">
      <c r="A7" s="0" t="n">
        <v>4</v>
      </c>
      <c r="B7" s="85" t="str">
        <f aca="false">IF(4&lt;=MIN($B$1,COUNTA('Historia miesięczna'!B8:B31)),INDEX('Historia miesięczna'!B8:B31,MAX(0,COUNTA('Historia miesięczna'!B8:B31)-MIN($B$1,COUNTA('Historia miesięczna'!B8:B31)))+4),"")</f>
        <v/>
      </c>
      <c r="C7" s="86" t="str">
        <f aca="false">IF(4&lt;=MIN($B$1,COUNTA('Historia miesięczna'!B8:B31)),IFERROR(INDEX('Historia miesięczna'!C8:C31,MAX(0,COUNTA('Historia miesięczna'!B8:B31)-MIN($B$1,COUNTA('Historia miesięczna'!B8:B31)))+4),0),"")</f>
        <v/>
      </c>
      <c r="D7" s="86" t="str">
        <f aca="false">IF(4&lt;=MIN($B$1,COUNTA('Historia miesięczna'!B8:B31)),IFERROR(INDEX('Historia miesięczna'!F8:F31,MAX(0,COUNTA('Historia miesięczna'!B8:B31)-MIN($B$1,COUNTA('Historia miesięczna'!B8:B31)))+4),0),"")</f>
        <v/>
      </c>
      <c r="E7" s="86" t="str">
        <f aca="false">IF(4&lt;=MIN($B$1,COUNTA('Historia miesięczna'!B8:B31)),IFERROR(INDEX('Historia miesięczna'!D8:D31,MAX(0,COUNTA('Historia miesięczna'!B8:B31)-MIN($B$1,COUNTA('Historia miesięczna'!B8:B31)))+4),0),"")</f>
        <v/>
      </c>
      <c r="F7" s="86" t="str">
        <f aca="false">IF(4&lt;=MIN($B$1,COUNTA('Historia miesięczna'!B8:B31)),IFERROR(INDEX('Historia miesięczna'!E8:E31,MAX(0,COUNTA('Historia miesięczna'!B8:B31)-MIN($B$1,COUNTA('Historia miesięczna'!B8:B31)))+4),0),"")</f>
        <v/>
      </c>
      <c r="G7" s="87" t="str">
        <f aca="false">IF(4&lt;=MIN($B$1,COUNTA('Historia miesięczna'!B8:B31)),IFERROR(INDEX('Historia miesięczna'!G8:G31,MAX(0,COUNTA('Historia miesięczna'!B8:B31)-MIN($B$1,COUNTA('Historia miesięczna'!B8:B31)))+4),0),"")</f>
        <v/>
      </c>
      <c r="H7" s="87" t="str">
        <f aca="false">IF(4&lt;=MIN($B$1,COUNTA('Historia miesięczna'!B8:B31)),IFERROR(INDEX('Historia miesięczna'!H8:H31,MAX(0,COUNTA('Historia miesięczna'!B8:B31)-MIN($B$1,COUNTA('Historia miesięczna'!B8:B31)))+4),0),"")</f>
        <v/>
      </c>
      <c r="I7" s="87" t="str">
        <f aca="false">IF(4&lt;=MIN($B$1,COUNTA('Historia miesięczna'!B8:B31)),IFERROR(INDEX('Historia miesięczna'!I8:I31,MAX(0,COUNTA('Historia miesięczna'!B8:B31)-MIN($B$1,COUNTA('Historia miesięczna'!B8:B31)))+4),0),"")</f>
        <v/>
      </c>
      <c r="J7" s="88" t="str">
        <f aca="false">IF(4&lt;=MIN($B$1,COUNTA('Historia miesięczna'!B8:B31)),IFERROR(INDEX('Historia miesięczna'!K8:K31,MAX(0,COUNTA('Historia miesięczna'!B8:B31)-MIN($B$1,COUNTA('Historia miesięczna'!B8:B31)))+4),0),"")</f>
        <v/>
      </c>
    </row>
    <row r="8" customFormat="false" ht="15" hidden="false" customHeight="false" outlineLevel="0" collapsed="false">
      <c r="A8" s="0" t="n">
        <v>5</v>
      </c>
      <c r="B8" s="85" t="str">
        <f aca="false">IF(5&lt;=MIN($B$1,COUNTA('Historia miesięczna'!B8:B31)),INDEX('Historia miesięczna'!B8:B31,MAX(0,COUNTA('Historia miesięczna'!B8:B31)-MIN($B$1,COUNTA('Historia miesięczna'!B8:B31)))+5),"")</f>
        <v/>
      </c>
      <c r="C8" s="86" t="str">
        <f aca="false">IF(5&lt;=MIN($B$1,COUNTA('Historia miesięczna'!B8:B31)),IFERROR(INDEX('Historia miesięczna'!C8:C31,MAX(0,COUNTA('Historia miesięczna'!B8:B31)-MIN($B$1,COUNTA('Historia miesięczna'!B8:B31)))+5),0),"")</f>
        <v/>
      </c>
      <c r="D8" s="86" t="str">
        <f aca="false">IF(5&lt;=MIN($B$1,COUNTA('Historia miesięczna'!B8:B31)),IFERROR(INDEX('Historia miesięczna'!F8:F31,MAX(0,COUNTA('Historia miesięczna'!B8:B31)-MIN($B$1,COUNTA('Historia miesięczna'!B8:B31)))+5),0),"")</f>
        <v/>
      </c>
      <c r="E8" s="86" t="str">
        <f aca="false">IF(5&lt;=MIN($B$1,COUNTA('Historia miesięczna'!B8:B31)),IFERROR(INDEX('Historia miesięczna'!D8:D31,MAX(0,COUNTA('Historia miesięczna'!B8:B31)-MIN($B$1,COUNTA('Historia miesięczna'!B8:B31)))+5),0),"")</f>
        <v/>
      </c>
      <c r="F8" s="86" t="str">
        <f aca="false">IF(5&lt;=MIN($B$1,COUNTA('Historia miesięczna'!B8:B31)),IFERROR(INDEX('Historia miesięczna'!E8:E31,MAX(0,COUNTA('Historia miesięczna'!B8:B31)-MIN($B$1,COUNTA('Historia miesięczna'!B8:B31)))+5),0),"")</f>
        <v/>
      </c>
      <c r="G8" s="87" t="str">
        <f aca="false">IF(5&lt;=MIN($B$1,COUNTA('Historia miesięczna'!B8:B31)),IFERROR(INDEX('Historia miesięczna'!G8:G31,MAX(0,COUNTA('Historia miesięczna'!B8:B31)-MIN($B$1,COUNTA('Historia miesięczna'!B8:B31)))+5),0),"")</f>
        <v/>
      </c>
      <c r="H8" s="87" t="str">
        <f aca="false">IF(5&lt;=MIN($B$1,COUNTA('Historia miesięczna'!B8:B31)),IFERROR(INDEX('Historia miesięczna'!H8:H31,MAX(0,COUNTA('Historia miesięczna'!B8:B31)-MIN($B$1,COUNTA('Historia miesięczna'!B8:B31)))+5),0),"")</f>
        <v/>
      </c>
      <c r="I8" s="87" t="str">
        <f aca="false">IF(5&lt;=MIN($B$1,COUNTA('Historia miesięczna'!B8:B31)),IFERROR(INDEX('Historia miesięczna'!I8:I31,MAX(0,COUNTA('Historia miesięczna'!B8:B31)-MIN($B$1,COUNTA('Historia miesięczna'!B8:B31)))+5),0),"")</f>
        <v/>
      </c>
      <c r="J8" s="88" t="str">
        <f aca="false">IF(5&lt;=MIN($B$1,COUNTA('Historia miesięczna'!B8:B31)),IFERROR(INDEX('Historia miesięczna'!K8:K31,MAX(0,COUNTA('Historia miesięczna'!B8:B31)-MIN($B$1,COUNTA('Historia miesięczna'!B8:B31)))+5),0),"")</f>
        <v/>
      </c>
    </row>
    <row r="9" customFormat="false" ht="15" hidden="false" customHeight="false" outlineLevel="0" collapsed="false">
      <c r="A9" s="0" t="n">
        <v>6</v>
      </c>
      <c r="B9" s="85" t="str">
        <f aca="false">IF(6&lt;=MIN($B$1,COUNTA('Historia miesięczna'!B8:B31)),INDEX('Historia miesięczna'!B8:B31,MAX(0,COUNTA('Historia miesięczna'!B8:B31)-MIN($B$1,COUNTA('Historia miesięczna'!B8:B31)))+6),"")</f>
        <v/>
      </c>
      <c r="C9" s="86" t="str">
        <f aca="false">IF(6&lt;=MIN($B$1,COUNTA('Historia miesięczna'!B8:B31)),IFERROR(INDEX('Historia miesięczna'!C8:C31,MAX(0,COUNTA('Historia miesięczna'!B8:B31)-MIN($B$1,COUNTA('Historia miesięczna'!B8:B31)))+6),0),"")</f>
        <v/>
      </c>
      <c r="D9" s="86" t="str">
        <f aca="false">IF(6&lt;=MIN($B$1,COUNTA('Historia miesięczna'!B8:B31)),IFERROR(INDEX('Historia miesięczna'!F8:F31,MAX(0,COUNTA('Historia miesięczna'!B8:B31)-MIN($B$1,COUNTA('Historia miesięczna'!B8:B31)))+6),0),"")</f>
        <v/>
      </c>
      <c r="E9" s="86" t="str">
        <f aca="false">IF(6&lt;=MIN($B$1,COUNTA('Historia miesięczna'!B8:B31)),IFERROR(INDEX('Historia miesięczna'!D8:D31,MAX(0,COUNTA('Historia miesięczna'!B8:B31)-MIN($B$1,COUNTA('Historia miesięczna'!B8:B31)))+6),0),"")</f>
        <v/>
      </c>
      <c r="F9" s="86" t="str">
        <f aca="false">IF(6&lt;=MIN($B$1,COUNTA('Historia miesięczna'!B8:B31)),IFERROR(INDEX('Historia miesięczna'!E8:E31,MAX(0,COUNTA('Historia miesięczna'!B8:B31)-MIN($B$1,COUNTA('Historia miesięczna'!B8:B31)))+6),0),"")</f>
        <v/>
      </c>
      <c r="G9" s="87" t="str">
        <f aca="false">IF(6&lt;=MIN($B$1,COUNTA('Historia miesięczna'!B8:B31)),IFERROR(INDEX('Historia miesięczna'!G8:G31,MAX(0,COUNTA('Historia miesięczna'!B8:B31)-MIN($B$1,COUNTA('Historia miesięczna'!B8:B31)))+6),0),"")</f>
        <v/>
      </c>
      <c r="H9" s="87" t="str">
        <f aca="false">IF(6&lt;=MIN($B$1,COUNTA('Historia miesięczna'!B8:B31)),IFERROR(INDEX('Historia miesięczna'!H8:H31,MAX(0,COUNTA('Historia miesięczna'!B8:B31)-MIN($B$1,COUNTA('Historia miesięczna'!B8:B31)))+6),0),"")</f>
        <v/>
      </c>
      <c r="I9" s="87" t="str">
        <f aca="false">IF(6&lt;=MIN($B$1,COUNTA('Historia miesięczna'!B8:B31)),IFERROR(INDEX('Historia miesięczna'!I8:I31,MAX(0,COUNTA('Historia miesięczna'!B8:B31)-MIN($B$1,COUNTA('Historia miesięczna'!B8:B31)))+6),0),"")</f>
        <v/>
      </c>
      <c r="J9" s="88" t="str">
        <f aca="false">IF(6&lt;=MIN($B$1,COUNTA('Historia miesięczna'!B8:B31)),IFERROR(INDEX('Historia miesięczna'!K8:K31,MAX(0,COUNTA('Historia miesięczna'!B8:B31)-MIN($B$1,COUNTA('Historia miesięczna'!B8:B31)))+6),0),"")</f>
        <v/>
      </c>
    </row>
    <row r="10" customFormat="false" ht="15" hidden="false" customHeight="false" outlineLevel="0" collapsed="false">
      <c r="A10" s="0" t="n">
        <v>7</v>
      </c>
      <c r="B10" s="85" t="str">
        <f aca="false">IF(7&lt;=MIN($B$1,COUNTA('Historia miesięczna'!B8:B31)),INDEX('Historia miesięczna'!B8:B31,MAX(0,COUNTA('Historia miesięczna'!B8:B31)-MIN($B$1,COUNTA('Historia miesięczna'!B8:B31)))+7),"")</f>
        <v/>
      </c>
      <c r="C10" s="86" t="str">
        <f aca="false">IF(7&lt;=MIN($B$1,COUNTA('Historia miesięczna'!B8:B31)),IFERROR(INDEX('Historia miesięczna'!C8:C31,MAX(0,COUNTA('Historia miesięczna'!B8:B31)-MIN($B$1,COUNTA('Historia miesięczna'!B8:B31)))+7),0),"")</f>
        <v/>
      </c>
      <c r="D10" s="86" t="str">
        <f aca="false">IF(7&lt;=MIN($B$1,COUNTA('Historia miesięczna'!B8:B31)),IFERROR(INDEX('Historia miesięczna'!F8:F31,MAX(0,COUNTA('Historia miesięczna'!B8:B31)-MIN($B$1,COUNTA('Historia miesięczna'!B8:B31)))+7),0),"")</f>
        <v/>
      </c>
      <c r="E10" s="86" t="str">
        <f aca="false">IF(7&lt;=MIN($B$1,COUNTA('Historia miesięczna'!B8:B31)),IFERROR(INDEX('Historia miesięczna'!D8:D31,MAX(0,COUNTA('Historia miesięczna'!B8:B31)-MIN($B$1,COUNTA('Historia miesięczna'!B8:B31)))+7),0),"")</f>
        <v/>
      </c>
      <c r="F10" s="86" t="str">
        <f aca="false">IF(7&lt;=MIN($B$1,COUNTA('Historia miesięczna'!B8:B31)),IFERROR(INDEX('Historia miesięczna'!E8:E31,MAX(0,COUNTA('Historia miesięczna'!B8:B31)-MIN($B$1,COUNTA('Historia miesięczna'!B8:B31)))+7),0),"")</f>
        <v/>
      </c>
      <c r="G10" s="87" t="str">
        <f aca="false">IF(7&lt;=MIN($B$1,COUNTA('Historia miesięczna'!B8:B31)),IFERROR(INDEX('Historia miesięczna'!G8:G31,MAX(0,COUNTA('Historia miesięczna'!B8:B31)-MIN($B$1,COUNTA('Historia miesięczna'!B8:B31)))+7),0),"")</f>
        <v/>
      </c>
      <c r="H10" s="87" t="str">
        <f aca="false">IF(7&lt;=MIN($B$1,COUNTA('Historia miesięczna'!B8:B31)),IFERROR(INDEX('Historia miesięczna'!H8:H31,MAX(0,COUNTA('Historia miesięczna'!B8:B31)-MIN($B$1,COUNTA('Historia miesięczna'!B8:B31)))+7),0),"")</f>
        <v/>
      </c>
      <c r="I10" s="87" t="str">
        <f aca="false">IF(7&lt;=MIN($B$1,COUNTA('Historia miesięczna'!B8:B31)),IFERROR(INDEX('Historia miesięczna'!I8:I31,MAX(0,COUNTA('Historia miesięczna'!B8:B31)-MIN($B$1,COUNTA('Historia miesięczna'!B8:B31)))+7),0),"")</f>
        <v/>
      </c>
      <c r="J10" s="88" t="str">
        <f aca="false">IF(7&lt;=MIN($B$1,COUNTA('Historia miesięczna'!B8:B31)),IFERROR(INDEX('Historia miesięczna'!K8:K31,MAX(0,COUNTA('Historia miesięczna'!B8:B31)-MIN($B$1,COUNTA('Historia miesięczna'!B8:B31)))+7),0),"")</f>
        <v/>
      </c>
    </row>
    <row r="11" customFormat="false" ht="15" hidden="false" customHeight="false" outlineLevel="0" collapsed="false">
      <c r="A11" s="0" t="n">
        <v>8</v>
      </c>
      <c r="B11" s="85" t="str">
        <f aca="false">IF(8&lt;=MIN($B$1,COUNTA('Historia miesięczna'!B8:B31)),INDEX('Historia miesięczna'!B8:B31,MAX(0,COUNTA('Historia miesięczna'!B8:B31)-MIN($B$1,COUNTA('Historia miesięczna'!B8:B31)))+8),"")</f>
        <v/>
      </c>
      <c r="C11" s="86" t="str">
        <f aca="false">IF(8&lt;=MIN($B$1,COUNTA('Historia miesięczna'!B8:B31)),IFERROR(INDEX('Historia miesięczna'!C8:C31,MAX(0,COUNTA('Historia miesięczna'!B8:B31)-MIN($B$1,COUNTA('Historia miesięczna'!B8:B31)))+8),0),"")</f>
        <v/>
      </c>
      <c r="D11" s="86" t="str">
        <f aca="false">IF(8&lt;=MIN($B$1,COUNTA('Historia miesięczna'!B8:B31)),IFERROR(INDEX('Historia miesięczna'!F8:F31,MAX(0,COUNTA('Historia miesięczna'!B8:B31)-MIN($B$1,COUNTA('Historia miesięczna'!B8:B31)))+8),0),"")</f>
        <v/>
      </c>
      <c r="E11" s="86" t="str">
        <f aca="false">IF(8&lt;=MIN($B$1,COUNTA('Historia miesięczna'!B8:B31)),IFERROR(INDEX('Historia miesięczna'!D8:D31,MAX(0,COUNTA('Historia miesięczna'!B8:B31)-MIN($B$1,COUNTA('Historia miesięczna'!B8:B31)))+8),0),"")</f>
        <v/>
      </c>
      <c r="F11" s="86" t="str">
        <f aca="false">IF(8&lt;=MIN($B$1,COUNTA('Historia miesięczna'!B8:B31)),IFERROR(INDEX('Historia miesięczna'!E8:E31,MAX(0,COUNTA('Historia miesięczna'!B8:B31)-MIN($B$1,COUNTA('Historia miesięczna'!B8:B31)))+8),0),"")</f>
        <v/>
      </c>
      <c r="G11" s="87" t="str">
        <f aca="false">IF(8&lt;=MIN($B$1,COUNTA('Historia miesięczna'!B8:B31)),IFERROR(INDEX('Historia miesięczna'!G8:G31,MAX(0,COUNTA('Historia miesięczna'!B8:B31)-MIN($B$1,COUNTA('Historia miesięczna'!B8:B31)))+8),0),"")</f>
        <v/>
      </c>
      <c r="H11" s="87" t="str">
        <f aca="false">IF(8&lt;=MIN($B$1,COUNTA('Historia miesięczna'!B8:B31)),IFERROR(INDEX('Historia miesięczna'!H8:H31,MAX(0,COUNTA('Historia miesięczna'!B8:B31)-MIN($B$1,COUNTA('Historia miesięczna'!B8:B31)))+8),0),"")</f>
        <v/>
      </c>
      <c r="I11" s="87" t="str">
        <f aca="false">IF(8&lt;=MIN($B$1,COUNTA('Historia miesięczna'!B8:B31)),IFERROR(INDEX('Historia miesięczna'!I8:I31,MAX(0,COUNTA('Historia miesięczna'!B8:B31)-MIN($B$1,COUNTA('Historia miesięczna'!B8:B31)))+8),0),"")</f>
        <v/>
      </c>
      <c r="J11" s="88" t="str">
        <f aca="false">IF(8&lt;=MIN($B$1,COUNTA('Historia miesięczna'!B8:B31)),IFERROR(INDEX('Historia miesięczna'!K8:K31,MAX(0,COUNTA('Historia miesięczna'!B8:B31)-MIN($B$1,COUNTA('Historia miesięczna'!B8:B31)))+8),0),"")</f>
        <v/>
      </c>
    </row>
    <row r="12" customFormat="false" ht="15" hidden="false" customHeight="false" outlineLevel="0" collapsed="false">
      <c r="A12" s="0" t="n">
        <v>9</v>
      </c>
      <c r="B12" s="85" t="str">
        <f aca="false">IF(9&lt;=MIN($B$1,COUNTA('Historia miesięczna'!B8:B31)),INDEX('Historia miesięczna'!B8:B31,MAX(0,COUNTA('Historia miesięczna'!B8:B31)-MIN($B$1,COUNTA('Historia miesięczna'!B8:B31)))+9),"")</f>
        <v/>
      </c>
      <c r="C12" s="86" t="str">
        <f aca="false">IF(9&lt;=MIN($B$1,COUNTA('Historia miesięczna'!B8:B31)),IFERROR(INDEX('Historia miesięczna'!C8:C31,MAX(0,COUNTA('Historia miesięczna'!B8:B31)-MIN($B$1,COUNTA('Historia miesięczna'!B8:B31)))+9),0),"")</f>
        <v/>
      </c>
      <c r="D12" s="86" t="str">
        <f aca="false">IF(9&lt;=MIN($B$1,COUNTA('Historia miesięczna'!B8:B31)),IFERROR(INDEX('Historia miesięczna'!F8:F31,MAX(0,COUNTA('Historia miesięczna'!B8:B31)-MIN($B$1,COUNTA('Historia miesięczna'!B8:B31)))+9),0),"")</f>
        <v/>
      </c>
      <c r="E12" s="86" t="str">
        <f aca="false">IF(9&lt;=MIN($B$1,COUNTA('Historia miesięczna'!B8:B31)),IFERROR(INDEX('Historia miesięczna'!D8:D31,MAX(0,COUNTA('Historia miesięczna'!B8:B31)-MIN($B$1,COUNTA('Historia miesięczna'!B8:B31)))+9),0),"")</f>
        <v/>
      </c>
      <c r="F12" s="86" t="str">
        <f aca="false">IF(9&lt;=MIN($B$1,COUNTA('Historia miesięczna'!B8:B31)),IFERROR(INDEX('Historia miesięczna'!E8:E31,MAX(0,COUNTA('Historia miesięczna'!B8:B31)-MIN($B$1,COUNTA('Historia miesięczna'!B8:B31)))+9),0),"")</f>
        <v/>
      </c>
      <c r="G12" s="87" t="str">
        <f aca="false">IF(9&lt;=MIN($B$1,COUNTA('Historia miesięczna'!B8:B31)),IFERROR(INDEX('Historia miesięczna'!G8:G31,MAX(0,COUNTA('Historia miesięczna'!B8:B31)-MIN($B$1,COUNTA('Historia miesięczna'!B8:B31)))+9),0),"")</f>
        <v/>
      </c>
      <c r="H12" s="87" t="str">
        <f aca="false">IF(9&lt;=MIN($B$1,COUNTA('Historia miesięczna'!B8:B31)),IFERROR(INDEX('Historia miesięczna'!H8:H31,MAX(0,COUNTA('Historia miesięczna'!B8:B31)-MIN($B$1,COUNTA('Historia miesięczna'!B8:B31)))+9),0),"")</f>
        <v/>
      </c>
      <c r="I12" s="87" t="str">
        <f aca="false">IF(9&lt;=MIN($B$1,COUNTA('Historia miesięczna'!B8:B31)),IFERROR(INDEX('Historia miesięczna'!I8:I31,MAX(0,COUNTA('Historia miesięczna'!B8:B31)-MIN($B$1,COUNTA('Historia miesięczna'!B8:B31)))+9),0),"")</f>
        <v/>
      </c>
      <c r="J12" s="88" t="str">
        <f aca="false">IF(9&lt;=MIN($B$1,COUNTA('Historia miesięczna'!B8:B31)),IFERROR(INDEX('Historia miesięczna'!K8:K31,MAX(0,COUNTA('Historia miesięczna'!B8:B31)-MIN($B$1,COUNTA('Historia miesięczna'!B8:B31)))+9),0),"")</f>
        <v/>
      </c>
    </row>
    <row r="13" customFormat="false" ht="15" hidden="false" customHeight="false" outlineLevel="0" collapsed="false">
      <c r="A13" s="0" t="n">
        <v>10</v>
      </c>
      <c r="B13" s="85" t="str">
        <f aca="false">IF(10&lt;=MIN($B$1,COUNTA('Historia miesięczna'!B8:B31)),INDEX('Historia miesięczna'!B8:B31,MAX(0,COUNTA('Historia miesięczna'!B8:B31)-MIN($B$1,COUNTA('Historia miesięczna'!B8:B31)))+10),"")</f>
        <v/>
      </c>
      <c r="C13" s="86" t="str">
        <f aca="false">IF(10&lt;=MIN($B$1,COUNTA('Historia miesięczna'!B8:B31)),IFERROR(INDEX('Historia miesięczna'!C8:C31,MAX(0,COUNTA('Historia miesięczna'!B8:B31)-MIN($B$1,COUNTA('Historia miesięczna'!B8:B31)))+10),0),"")</f>
        <v/>
      </c>
      <c r="D13" s="86" t="str">
        <f aca="false">IF(10&lt;=MIN($B$1,COUNTA('Historia miesięczna'!B8:B31)),IFERROR(INDEX('Historia miesięczna'!F8:F31,MAX(0,COUNTA('Historia miesięczna'!B8:B31)-MIN($B$1,COUNTA('Historia miesięczna'!B8:B31)))+10),0),"")</f>
        <v/>
      </c>
      <c r="E13" s="86" t="str">
        <f aca="false">IF(10&lt;=MIN($B$1,COUNTA('Historia miesięczna'!B8:B31)),IFERROR(INDEX('Historia miesięczna'!D8:D31,MAX(0,COUNTA('Historia miesięczna'!B8:B31)-MIN($B$1,COUNTA('Historia miesięczna'!B8:B31)))+10),0),"")</f>
        <v/>
      </c>
      <c r="F13" s="86" t="str">
        <f aca="false">IF(10&lt;=MIN($B$1,COUNTA('Historia miesięczna'!B8:B31)),IFERROR(INDEX('Historia miesięczna'!E8:E31,MAX(0,COUNTA('Historia miesięczna'!B8:B31)-MIN($B$1,COUNTA('Historia miesięczna'!B8:B31)))+10),0),"")</f>
        <v/>
      </c>
      <c r="G13" s="87" t="str">
        <f aca="false">IF(10&lt;=MIN($B$1,COUNTA('Historia miesięczna'!B8:B31)),IFERROR(INDEX('Historia miesięczna'!G8:G31,MAX(0,COUNTA('Historia miesięczna'!B8:B31)-MIN($B$1,COUNTA('Historia miesięczna'!B8:B31)))+10),0),"")</f>
        <v/>
      </c>
      <c r="H13" s="87" t="str">
        <f aca="false">IF(10&lt;=MIN($B$1,COUNTA('Historia miesięczna'!B8:B31)),IFERROR(INDEX('Historia miesięczna'!H8:H31,MAX(0,COUNTA('Historia miesięczna'!B8:B31)-MIN($B$1,COUNTA('Historia miesięczna'!B8:B31)))+10),0),"")</f>
        <v/>
      </c>
      <c r="I13" s="87" t="str">
        <f aca="false">IF(10&lt;=MIN($B$1,COUNTA('Historia miesięczna'!B8:B31)),IFERROR(INDEX('Historia miesięczna'!I8:I31,MAX(0,COUNTA('Historia miesięczna'!B8:B31)-MIN($B$1,COUNTA('Historia miesięczna'!B8:B31)))+10),0),"")</f>
        <v/>
      </c>
      <c r="J13" s="88" t="str">
        <f aca="false">IF(10&lt;=MIN($B$1,COUNTA('Historia miesięczna'!B8:B31)),IFERROR(INDEX('Historia miesięczna'!K8:K31,MAX(0,COUNTA('Historia miesięczna'!B8:B31)-MIN($B$1,COUNTA('Historia miesięczna'!B8:B31)))+10),0),"")</f>
        <v/>
      </c>
    </row>
    <row r="14" customFormat="false" ht="15" hidden="false" customHeight="false" outlineLevel="0" collapsed="false">
      <c r="A14" s="0" t="n">
        <v>11</v>
      </c>
      <c r="B14" s="85" t="str">
        <f aca="false">IF(11&lt;=MIN($B$1,COUNTA('Historia miesięczna'!B8:B31)),INDEX('Historia miesięczna'!B8:B31,MAX(0,COUNTA('Historia miesięczna'!B8:B31)-MIN($B$1,COUNTA('Historia miesięczna'!B8:B31)))+11),"")</f>
        <v/>
      </c>
      <c r="C14" s="86" t="str">
        <f aca="false">IF(11&lt;=MIN($B$1,COUNTA('Historia miesięczna'!B8:B31)),IFERROR(INDEX('Historia miesięczna'!C8:C31,MAX(0,COUNTA('Historia miesięczna'!B8:B31)-MIN($B$1,COUNTA('Historia miesięczna'!B8:B31)))+11),0),"")</f>
        <v/>
      </c>
      <c r="D14" s="86" t="str">
        <f aca="false">IF(11&lt;=MIN($B$1,COUNTA('Historia miesięczna'!B8:B31)),IFERROR(INDEX('Historia miesięczna'!F8:F31,MAX(0,COUNTA('Historia miesięczna'!B8:B31)-MIN($B$1,COUNTA('Historia miesięczna'!B8:B31)))+11),0),"")</f>
        <v/>
      </c>
      <c r="E14" s="86" t="str">
        <f aca="false">IF(11&lt;=MIN($B$1,COUNTA('Historia miesięczna'!B8:B31)),IFERROR(INDEX('Historia miesięczna'!D8:D31,MAX(0,COUNTA('Historia miesięczna'!B8:B31)-MIN($B$1,COUNTA('Historia miesięczna'!B8:B31)))+11),0),"")</f>
        <v/>
      </c>
      <c r="F14" s="86" t="str">
        <f aca="false">IF(11&lt;=MIN($B$1,COUNTA('Historia miesięczna'!B8:B31)),IFERROR(INDEX('Historia miesięczna'!E8:E31,MAX(0,COUNTA('Historia miesięczna'!B8:B31)-MIN($B$1,COUNTA('Historia miesięczna'!B8:B31)))+11),0),"")</f>
        <v/>
      </c>
      <c r="G14" s="87" t="str">
        <f aca="false">IF(11&lt;=MIN($B$1,COUNTA('Historia miesięczna'!B8:B31)),IFERROR(INDEX('Historia miesięczna'!G8:G31,MAX(0,COUNTA('Historia miesięczna'!B8:B31)-MIN($B$1,COUNTA('Historia miesięczna'!B8:B31)))+11),0),"")</f>
        <v/>
      </c>
      <c r="H14" s="87" t="str">
        <f aca="false">IF(11&lt;=MIN($B$1,COUNTA('Historia miesięczna'!B8:B31)),IFERROR(INDEX('Historia miesięczna'!H8:H31,MAX(0,COUNTA('Historia miesięczna'!B8:B31)-MIN($B$1,COUNTA('Historia miesięczna'!B8:B31)))+11),0),"")</f>
        <v/>
      </c>
      <c r="I14" s="87" t="str">
        <f aca="false">IF(11&lt;=MIN($B$1,COUNTA('Historia miesięczna'!B8:B31)),IFERROR(INDEX('Historia miesięczna'!I8:I31,MAX(0,COUNTA('Historia miesięczna'!B8:B31)-MIN($B$1,COUNTA('Historia miesięczna'!B8:B31)))+11),0),"")</f>
        <v/>
      </c>
      <c r="J14" s="88" t="str">
        <f aca="false">IF(11&lt;=MIN($B$1,COUNTA('Historia miesięczna'!B8:B31)),IFERROR(INDEX('Historia miesięczna'!K8:K31,MAX(0,COUNTA('Historia miesięczna'!B8:B31)-MIN($B$1,COUNTA('Historia miesięczna'!B8:B31)))+11),0),"")</f>
        <v/>
      </c>
    </row>
    <row r="15" customFormat="false" ht="15" hidden="false" customHeight="false" outlineLevel="0" collapsed="false">
      <c r="A15" s="0" t="n">
        <v>12</v>
      </c>
      <c r="B15" s="85" t="str">
        <f aca="false">IF(12&lt;=MIN($B$1,COUNTA('Historia miesięczna'!B8:B31)),INDEX('Historia miesięczna'!B8:B31,MAX(0,COUNTA('Historia miesięczna'!B8:B31)-MIN($B$1,COUNTA('Historia miesięczna'!B8:B31)))+12),"")</f>
        <v/>
      </c>
      <c r="C15" s="86" t="str">
        <f aca="false">IF(12&lt;=MIN($B$1,COUNTA('Historia miesięczna'!B8:B31)),IFERROR(INDEX('Historia miesięczna'!C8:C31,MAX(0,COUNTA('Historia miesięczna'!B8:B31)-MIN($B$1,COUNTA('Historia miesięczna'!B8:B31)))+12),0),"")</f>
        <v/>
      </c>
      <c r="D15" s="86" t="str">
        <f aca="false">IF(12&lt;=MIN($B$1,COUNTA('Historia miesięczna'!B8:B31)),IFERROR(INDEX('Historia miesięczna'!F8:F31,MAX(0,COUNTA('Historia miesięczna'!B8:B31)-MIN($B$1,COUNTA('Historia miesięczna'!B8:B31)))+12),0),"")</f>
        <v/>
      </c>
      <c r="E15" s="86" t="str">
        <f aca="false">IF(12&lt;=MIN($B$1,COUNTA('Historia miesięczna'!B8:B31)),IFERROR(INDEX('Historia miesięczna'!D8:D31,MAX(0,COUNTA('Historia miesięczna'!B8:B31)-MIN($B$1,COUNTA('Historia miesięczna'!B8:B31)))+12),0),"")</f>
        <v/>
      </c>
      <c r="F15" s="86" t="str">
        <f aca="false">IF(12&lt;=MIN($B$1,COUNTA('Historia miesięczna'!B8:B31)),IFERROR(INDEX('Historia miesięczna'!E8:E31,MAX(0,COUNTA('Historia miesięczna'!B8:B31)-MIN($B$1,COUNTA('Historia miesięczna'!B8:B31)))+12),0),"")</f>
        <v/>
      </c>
      <c r="G15" s="87" t="str">
        <f aca="false">IF(12&lt;=MIN($B$1,COUNTA('Historia miesięczna'!B8:B31)),IFERROR(INDEX('Historia miesięczna'!G8:G31,MAX(0,COUNTA('Historia miesięczna'!B8:B31)-MIN($B$1,COUNTA('Historia miesięczna'!B8:B31)))+12),0),"")</f>
        <v/>
      </c>
      <c r="H15" s="87" t="str">
        <f aca="false">IF(12&lt;=MIN($B$1,COUNTA('Historia miesięczna'!B8:B31)),IFERROR(INDEX('Historia miesięczna'!H8:H31,MAX(0,COUNTA('Historia miesięczna'!B8:B31)-MIN($B$1,COUNTA('Historia miesięczna'!B8:B31)))+12),0),"")</f>
        <v/>
      </c>
      <c r="I15" s="87" t="str">
        <f aca="false">IF(12&lt;=MIN($B$1,COUNTA('Historia miesięczna'!B8:B31)),IFERROR(INDEX('Historia miesięczna'!I8:I31,MAX(0,COUNTA('Historia miesięczna'!B8:B31)-MIN($B$1,COUNTA('Historia miesięczna'!B8:B31)))+12),0),"")</f>
        <v/>
      </c>
      <c r="J15" s="88" t="str">
        <f aca="false">IF(12&lt;=MIN($B$1,COUNTA('Historia miesięczna'!B8:B31)),IFERROR(INDEX('Historia miesięczna'!K8:K31,MAX(0,COUNTA('Historia miesięczna'!B8:B31)-MIN($B$1,COUNTA('Historia miesięczna'!B8:B31)))+12),0),"")</f>
        <v/>
      </c>
    </row>
    <row r="16" customFormat="false" ht="15" hidden="false" customHeight="false" outlineLevel="0" collapsed="false">
      <c r="A16" s="0" t="n">
        <v>13</v>
      </c>
      <c r="B16" s="85" t="str">
        <f aca="false">IF(13&lt;=MIN($B$1,COUNTA('Historia miesięczna'!B8:B31)),INDEX('Historia miesięczna'!B8:B31,MAX(0,COUNTA('Historia miesięczna'!B8:B31)-MIN($B$1,COUNTA('Historia miesięczna'!B8:B31)))+13),"")</f>
        <v/>
      </c>
      <c r="C16" s="86" t="str">
        <f aca="false">IF(13&lt;=MIN($B$1,COUNTA('Historia miesięczna'!B8:B31)),IFERROR(INDEX('Historia miesięczna'!C8:C31,MAX(0,COUNTA('Historia miesięczna'!B8:B31)-MIN($B$1,COUNTA('Historia miesięczna'!B8:B31)))+13),0),"")</f>
        <v/>
      </c>
      <c r="D16" s="86" t="str">
        <f aca="false">IF(13&lt;=MIN($B$1,COUNTA('Historia miesięczna'!B8:B31)),IFERROR(INDEX('Historia miesięczna'!F8:F31,MAX(0,COUNTA('Historia miesięczna'!B8:B31)-MIN($B$1,COUNTA('Historia miesięczna'!B8:B31)))+13),0),"")</f>
        <v/>
      </c>
      <c r="E16" s="86" t="str">
        <f aca="false">IF(13&lt;=MIN($B$1,COUNTA('Historia miesięczna'!B8:B31)),IFERROR(INDEX('Historia miesięczna'!D8:D31,MAX(0,COUNTA('Historia miesięczna'!B8:B31)-MIN($B$1,COUNTA('Historia miesięczna'!B8:B31)))+13),0),"")</f>
        <v/>
      </c>
      <c r="F16" s="86" t="str">
        <f aca="false">IF(13&lt;=MIN($B$1,COUNTA('Historia miesięczna'!B8:B31)),IFERROR(INDEX('Historia miesięczna'!E8:E31,MAX(0,COUNTA('Historia miesięczna'!B8:B31)-MIN($B$1,COUNTA('Historia miesięczna'!B8:B31)))+13),0),"")</f>
        <v/>
      </c>
      <c r="G16" s="87" t="str">
        <f aca="false">IF(13&lt;=MIN($B$1,COUNTA('Historia miesięczna'!B8:B31)),IFERROR(INDEX('Historia miesięczna'!G8:G31,MAX(0,COUNTA('Historia miesięczna'!B8:B31)-MIN($B$1,COUNTA('Historia miesięczna'!B8:B31)))+13),0),"")</f>
        <v/>
      </c>
      <c r="H16" s="87" t="str">
        <f aca="false">IF(13&lt;=MIN($B$1,COUNTA('Historia miesięczna'!B8:B31)),IFERROR(INDEX('Historia miesięczna'!H8:H31,MAX(0,COUNTA('Historia miesięczna'!B8:B31)-MIN($B$1,COUNTA('Historia miesięczna'!B8:B31)))+13),0),"")</f>
        <v/>
      </c>
      <c r="I16" s="87" t="str">
        <f aca="false">IF(13&lt;=MIN($B$1,COUNTA('Historia miesięczna'!B8:B31)),IFERROR(INDEX('Historia miesięczna'!I8:I31,MAX(0,COUNTA('Historia miesięczna'!B8:B31)-MIN($B$1,COUNTA('Historia miesięczna'!B8:B31)))+13),0),"")</f>
        <v/>
      </c>
      <c r="J16" s="88" t="str">
        <f aca="false">IF(13&lt;=MIN($B$1,COUNTA('Historia miesięczna'!B8:B31)),IFERROR(INDEX('Historia miesięczna'!K8:K31,MAX(0,COUNTA('Historia miesięczna'!B8:B31)-MIN($B$1,COUNTA('Historia miesięczna'!B8:B31)))+13),0),"")</f>
        <v/>
      </c>
    </row>
    <row r="17" customFormat="false" ht="15" hidden="false" customHeight="false" outlineLevel="0" collapsed="false">
      <c r="A17" s="0" t="n">
        <v>14</v>
      </c>
      <c r="B17" s="85" t="str">
        <f aca="false">IF(14&lt;=MIN($B$1,COUNTA('Historia miesięczna'!B8:B31)),INDEX('Historia miesięczna'!B8:B31,MAX(0,COUNTA('Historia miesięczna'!B8:B31)-MIN($B$1,COUNTA('Historia miesięczna'!B8:B31)))+14),"")</f>
        <v/>
      </c>
      <c r="C17" s="86" t="str">
        <f aca="false">IF(14&lt;=MIN($B$1,COUNTA('Historia miesięczna'!B8:B31)),IFERROR(INDEX('Historia miesięczna'!C8:C31,MAX(0,COUNTA('Historia miesięczna'!B8:B31)-MIN($B$1,COUNTA('Historia miesięczna'!B8:B31)))+14),0),"")</f>
        <v/>
      </c>
      <c r="D17" s="86" t="str">
        <f aca="false">IF(14&lt;=MIN($B$1,COUNTA('Historia miesięczna'!B8:B31)),IFERROR(INDEX('Historia miesięczna'!F8:F31,MAX(0,COUNTA('Historia miesięczna'!B8:B31)-MIN($B$1,COUNTA('Historia miesięczna'!B8:B31)))+14),0),"")</f>
        <v/>
      </c>
      <c r="E17" s="86" t="str">
        <f aca="false">IF(14&lt;=MIN($B$1,COUNTA('Historia miesięczna'!B8:B31)),IFERROR(INDEX('Historia miesięczna'!D8:D31,MAX(0,COUNTA('Historia miesięczna'!B8:B31)-MIN($B$1,COUNTA('Historia miesięczna'!B8:B31)))+14),0),"")</f>
        <v/>
      </c>
      <c r="F17" s="86" t="str">
        <f aca="false">IF(14&lt;=MIN($B$1,COUNTA('Historia miesięczna'!B8:B31)),IFERROR(INDEX('Historia miesięczna'!E8:E31,MAX(0,COUNTA('Historia miesięczna'!B8:B31)-MIN($B$1,COUNTA('Historia miesięczna'!B8:B31)))+14),0),"")</f>
        <v/>
      </c>
      <c r="G17" s="87" t="str">
        <f aca="false">IF(14&lt;=MIN($B$1,COUNTA('Historia miesięczna'!B8:B31)),IFERROR(INDEX('Historia miesięczna'!G8:G31,MAX(0,COUNTA('Historia miesięczna'!B8:B31)-MIN($B$1,COUNTA('Historia miesięczna'!B8:B31)))+14),0),"")</f>
        <v/>
      </c>
      <c r="H17" s="87" t="str">
        <f aca="false">IF(14&lt;=MIN($B$1,COUNTA('Historia miesięczna'!B8:B31)),IFERROR(INDEX('Historia miesięczna'!H8:H31,MAX(0,COUNTA('Historia miesięczna'!B8:B31)-MIN($B$1,COUNTA('Historia miesięczna'!B8:B31)))+14),0),"")</f>
        <v/>
      </c>
      <c r="I17" s="87" t="str">
        <f aca="false">IF(14&lt;=MIN($B$1,COUNTA('Historia miesięczna'!B8:B31)),IFERROR(INDEX('Historia miesięczna'!I8:I31,MAX(0,COUNTA('Historia miesięczna'!B8:B31)-MIN($B$1,COUNTA('Historia miesięczna'!B8:B31)))+14),0),"")</f>
        <v/>
      </c>
      <c r="J17" s="88" t="str">
        <f aca="false">IF(14&lt;=MIN($B$1,COUNTA('Historia miesięczna'!B8:B31)),IFERROR(INDEX('Historia miesięczna'!K8:K31,MAX(0,COUNTA('Historia miesięczna'!B8:B31)-MIN($B$1,COUNTA('Historia miesięczna'!B8:B31)))+14),0),"")</f>
        <v/>
      </c>
    </row>
    <row r="18" customFormat="false" ht="15" hidden="false" customHeight="false" outlineLevel="0" collapsed="false">
      <c r="A18" s="0" t="n">
        <v>15</v>
      </c>
      <c r="B18" s="85" t="str">
        <f aca="false">IF(15&lt;=MIN($B$1,COUNTA('Historia miesięczna'!B8:B31)),INDEX('Historia miesięczna'!B8:B31,MAX(0,COUNTA('Historia miesięczna'!B8:B31)-MIN($B$1,COUNTA('Historia miesięczna'!B8:B31)))+15),"")</f>
        <v/>
      </c>
      <c r="C18" s="86" t="str">
        <f aca="false">IF(15&lt;=MIN($B$1,COUNTA('Historia miesięczna'!B8:B31)),IFERROR(INDEX('Historia miesięczna'!C8:C31,MAX(0,COUNTA('Historia miesięczna'!B8:B31)-MIN($B$1,COUNTA('Historia miesięczna'!B8:B31)))+15),0),"")</f>
        <v/>
      </c>
      <c r="D18" s="86" t="str">
        <f aca="false">IF(15&lt;=MIN($B$1,COUNTA('Historia miesięczna'!B8:B31)),IFERROR(INDEX('Historia miesięczna'!F8:F31,MAX(0,COUNTA('Historia miesięczna'!B8:B31)-MIN($B$1,COUNTA('Historia miesięczna'!B8:B31)))+15),0),"")</f>
        <v/>
      </c>
      <c r="E18" s="86" t="str">
        <f aca="false">IF(15&lt;=MIN($B$1,COUNTA('Historia miesięczna'!B8:B31)),IFERROR(INDEX('Historia miesięczna'!D8:D31,MAX(0,COUNTA('Historia miesięczna'!B8:B31)-MIN($B$1,COUNTA('Historia miesięczna'!B8:B31)))+15),0),"")</f>
        <v/>
      </c>
      <c r="F18" s="86" t="str">
        <f aca="false">IF(15&lt;=MIN($B$1,COUNTA('Historia miesięczna'!B8:B31)),IFERROR(INDEX('Historia miesięczna'!E8:E31,MAX(0,COUNTA('Historia miesięczna'!B8:B31)-MIN($B$1,COUNTA('Historia miesięczna'!B8:B31)))+15),0),"")</f>
        <v/>
      </c>
      <c r="G18" s="87" t="str">
        <f aca="false">IF(15&lt;=MIN($B$1,COUNTA('Historia miesięczna'!B8:B31)),IFERROR(INDEX('Historia miesięczna'!G8:G31,MAX(0,COUNTA('Historia miesięczna'!B8:B31)-MIN($B$1,COUNTA('Historia miesięczna'!B8:B31)))+15),0),"")</f>
        <v/>
      </c>
      <c r="H18" s="87" t="str">
        <f aca="false">IF(15&lt;=MIN($B$1,COUNTA('Historia miesięczna'!B8:B31)),IFERROR(INDEX('Historia miesięczna'!H8:H31,MAX(0,COUNTA('Historia miesięczna'!B8:B31)-MIN($B$1,COUNTA('Historia miesięczna'!B8:B31)))+15),0),"")</f>
        <v/>
      </c>
      <c r="I18" s="87" t="str">
        <f aca="false">IF(15&lt;=MIN($B$1,COUNTA('Historia miesięczna'!B8:B31)),IFERROR(INDEX('Historia miesięczna'!I8:I31,MAX(0,COUNTA('Historia miesięczna'!B8:B31)-MIN($B$1,COUNTA('Historia miesięczna'!B8:B31)))+15),0),"")</f>
        <v/>
      </c>
      <c r="J18" s="88" t="str">
        <f aca="false">IF(15&lt;=MIN($B$1,COUNTA('Historia miesięczna'!B8:B31)),IFERROR(INDEX('Historia miesięczna'!K8:K31,MAX(0,COUNTA('Historia miesięczna'!B8:B31)-MIN($B$1,COUNTA('Historia miesięczna'!B8:B31)))+15),0),"")</f>
        <v/>
      </c>
    </row>
    <row r="19" customFormat="false" ht="15" hidden="false" customHeight="false" outlineLevel="0" collapsed="false">
      <c r="A19" s="0" t="n">
        <v>16</v>
      </c>
      <c r="B19" s="85" t="str">
        <f aca="false">IF(16&lt;=MIN($B$1,COUNTA('Historia miesięczna'!B8:B31)),INDEX('Historia miesięczna'!B8:B31,MAX(0,COUNTA('Historia miesięczna'!B8:B31)-MIN($B$1,COUNTA('Historia miesięczna'!B8:B31)))+16),"")</f>
        <v/>
      </c>
      <c r="C19" s="86" t="str">
        <f aca="false">IF(16&lt;=MIN($B$1,COUNTA('Historia miesięczna'!B8:B31)),IFERROR(INDEX('Historia miesięczna'!C8:C31,MAX(0,COUNTA('Historia miesięczna'!B8:B31)-MIN($B$1,COUNTA('Historia miesięczna'!B8:B31)))+16),0),"")</f>
        <v/>
      </c>
      <c r="D19" s="86" t="str">
        <f aca="false">IF(16&lt;=MIN($B$1,COUNTA('Historia miesięczna'!B8:B31)),IFERROR(INDEX('Historia miesięczna'!F8:F31,MAX(0,COUNTA('Historia miesięczna'!B8:B31)-MIN($B$1,COUNTA('Historia miesięczna'!B8:B31)))+16),0),"")</f>
        <v/>
      </c>
      <c r="E19" s="86" t="str">
        <f aca="false">IF(16&lt;=MIN($B$1,COUNTA('Historia miesięczna'!B8:B31)),IFERROR(INDEX('Historia miesięczna'!D8:D31,MAX(0,COUNTA('Historia miesięczna'!B8:B31)-MIN($B$1,COUNTA('Historia miesięczna'!B8:B31)))+16),0),"")</f>
        <v/>
      </c>
      <c r="F19" s="86" t="str">
        <f aca="false">IF(16&lt;=MIN($B$1,COUNTA('Historia miesięczna'!B8:B31)),IFERROR(INDEX('Historia miesięczna'!E8:E31,MAX(0,COUNTA('Historia miesięczna'!B8:B31)-MIN($B$1,COUNTA('Historia miesięczna'!B8:B31)))+16),0),"")</f>
        <v/>
      </c>
      <c r="G19" s="87" t="str">
        <f aca="false">IF(16&lt;=MIN($B$1,COUNTA('Historia miesięczna'!B8:B31)),IFERROR(INDEX('Historia miesięczna'!G8:G31,MAX(0,COUNTA('Historia miesięczna'!B8:B31)-MIN($B$1,COUNTA('Historia miesięczna'!B8:B31)))+16),0),"")</f>
        <v/>
      </c>
      <c r="H19" s="87" t="str">
        <f aca="false">IF(16&lt;=MIN($B$1,COUNTA('Historia miesięczna'!B8:B31)),IFERROR(INDEX('Historia miesięczna'!H8:H31,MAX(0,COUNTA('Historia miesięczna'!B8:B31)-MIN($B$1,COUNTA('Historia miesięczna'!B8:B31)))+16),0),"")</f>
        <v/>
      </c>
      <c r="I19" s="87" t="str">
        <f aca="false">IF(16&lt;=MIN($B$1,COUNTA('Historia miesięczna'!B8:B31)),IFERROR(INDEX('Historia miesięczna'!I8:I31,MAX(0,COUNTA('Historia miesięczna'!B8:B31)-MIN($B$1,COUNTA('Historia miesięczna'!B8:B31)))+16),0),"")</f>
        <v/>
      </c>
      <c r="J19" s="88" t="str">
        <f aca="false">IF(16&lt;=MIN($B$1,COUNTA('Historia miesięczna'!B8:B31)),IFERROR(INDEX('Historia miesięczna'!K8:K31,MAX(0,COUNTA('Historia miesięczna'!B8:B31)-MIN($B$1,COUNTA('Historia miesięczna'!B8:B31)))+16),0),"")</f>
        <v/>
      </c>
    </row>
    <row r="20" customFormat="false" ht="15" hidden="false" customHeight="false" outlineLevel="0" collapsed="false">
      <c r="A20" s="0" t="n">
        <v>17</v>
      </c>
      <c r="B20" s="85" t="str">
        <f aca="false">IF(17&lt;=MIN($B$1,COUNTA('Historia miesięczna'!B8:B31)),INDEX('Historia miesięczna'!B8:B31,MAX(0,COUNTA('Historia miesięczna'!B8:B31)-MIN($B$1,COUNTA('Historia miesięczna'!B8:B31)))+17),"")</f>
        <v/>
      </c>
      <c r="C20" s="86" t="str">
        <f aca="false">IF(17&lt;=MIN($B$1,COUNTA('Historia miesięczna'!B8:B31)),IFERROR(INDEX('Historia miesięczna'!C8:C31,MAX(0,COUNTA('Historia miesięczna'!B8:B31)-MIN($B$1,COUNTA('Historia miesięczna'!B8:B31)))+17),0),"")</f>
        <v/>
      </c>
      <c r="D20" s="86" t="str">
        <f aca="false">IF(17&lt;=MIN($B$1,COUNTA('Historia miesięczna'!B8:B31)),IFERROR(INDEX('Historia miesięczna'!F8:F31,MAX(0,COUNTA('Historia miesięczna'!B8:B31)-MIN($B$1,COUNTA('Historia miesięczna'!B8:B31)))+17),0),"")</f>
        <v/>
      </c>
      <c r="E20" s="86" t="str">
        <f aca="false">IF(17&lt;=MIN($B$1,COUNTA('Historia miesięczna'!B8:B31)),IFERROR(INDEX('Historia miesięczna'!D8:D31,MAX(0,COUNTA('Historia miesięczna'!B8:B31)-MIN($B$1,COUNTA('Historia miesięczna'!B8:B31)))+17),0),"")</f>
        <v/>
      </c>
      <c r="F20" s="86" t="str">
        <f aca="false">IF(17&lt;=MIN($B$1,COUNTA('Historia miesięczna'!B8:B31)),IFERROR(INDEX('Historia miesięczna'!E8:E31,MAX(0,COUNTA('Historia miesięczna'!B8:B31)-MIN($B$1,COUNTA('Historia miesięczna'!B8:B31)))+17),0),"")</f>
        <v/>
      </c>
      <c r="G20" s="87" t="str">
        <f aca="false">IF(17&lt;=MIN($B$1,COUNTA('Historia miesięczna'!B8:B31)),IFERROR(INDEX('Historia miesięczna'!G8:G31,MAX(0,COUNTA('Historia miesięczna'!B8:B31)-MIN($B$1,COUNTA('Historia miesięczna'!B8:B31)))+17),0),"")</f>
        <v/>
      </c>
      <c r="H20" s="87" t="str">
        <f aca="false">IF(17&lt;=MIN($B$1,COUNTA('Historia miesięczna'!B8:B31)),IFERROR(INDEX('Historia miesięczna'!H8:H31,MAX(0,COUNTA('Historia miesięczna'!B8:B31)-MIN($B$1,COUNTA('Historia miesięczna'!B8:B31)))+17),0),"")</f>
        <v/>
      </c>
      <c r="I20" s="87" t="str">
        <f aca="false">IF(17&lt;=MIN($B$1,COUNTA('Historia miesięczna'!B8:B31)),IFERROR(INDEX('Historia miesięczna'!I8:I31,MAX(0,COUNTA('Historia miesięczna'!B8:B31)-MIN($B$1,COUNTA('Historia miesięczna'!B8:B31)))+17),0),"")</f>
        <v/>
      </c>
      <c r="J20" s="88" t="str">
        <f aca="false">IF(17&lt;=MIN($B$1,COUNTA('Historia miesięczna'!B8:B31)),IFERROR(INDEX('Historia miesięczna'!K8:K31,MAX(0,COUNTA('Historia miesięczna'!B8:B31)-MIN($B$1,COUNTA('Historia miesięczna'!B8:B31)))+17),0),"")</f>
        <v/>
      </c>
    </row>
    <row r="21" customFormat="false" ht="15" hidden="false" customHeight="false" outlineLevel="0" collapsed="false">
      <c r="A21" s="0" t="n">
        <v>18</v>
      </c>
      <c r="B21" s="85" t="str">
        <f aca="false">IF(18&lt;=MIN($B$1,COUNTA('Historia miesięczna'!B8:B31)),INDEX('Historia miesięczna'!B8:B31,MAX(0,COUNTA('Historia miesięczna'!B8:B31)-MIN($B$1,COUNTA('Historia miesięczna'!B8:B31)))+18),"")</f>
        <v/>
      </c>
      <c r="C21" s="86" t="str">
        <f aca="false">IF(18&lt;=MIN($B$1,COUNTA('Historia miesięczna'!B8:B31)),IFERROR(INDEX('Historia miesięczna'!C8:C31,MAX(0,COUNTA('Historia miesięczna'!B8:B31)-MIN($B$1,COUNTA('Historia miesięczna'!B8:B31)))+18),0),"")</f>
        <v/>
      </c>
      <c r="D21" s="86" t="str">
        <f aca="false">IF(18&lt;=MIN($B$1,COUNTA('Historia miesięczna'!B8:B31)),IFERROR(INDEX('Historia miesięczna'!F8:F31,MAX(0,COUNTA('Historia miesięczna'!B8:B31)-MIN($B$1,COUNTA('Historia miesięczna'!B8:B31)))+18),0),"")</f>
        <v/>
      </c>
      <c r="E21" s="86" t="str">
        <f aca="false">IF(18&lt;=MIN($B$1,COUNTA('Historia miesięczna'!B8:B31)),IFERROR(INDEX('Historia miesięczna'!D8:D31,MAX(0,COUNTA('Historia miesięczna'!B8:B31)-MIN($B$1,COUNTA('Historia miesięczna'!B8:B31)))+18),0),"")</f>
        <v/>
      </c>
      <c r="F21" s="86" t="str">
        <f aca="false">IF(18&lt;=MIN($B$1,COUNTA('Historia miesięczna'!B8:B31)),IFERROR(INDEX('Historia miesięczna'!E8:E31,MAX(0,COUNTA('Historia miesięczna'!B8:B31)-MIN($B$1,COUNTA('Historia miesięczna'!B8:B31)))+18),0),"")</f>
        <v/>
      </c>
      <c r="G21" s="87" t="str">
        <f aca="false">IF(18&lt;=MIN($B$1,COUNTA('Historia miesięczna'!B8:B31)),IFERROR(INDEX('Historia miesięczna'!G8:G31,MAX(0,COUNTA('Historia miesięczna'!B8:B31)-MIN($B$1,COUNTA('Historia miesięczna'!B8:B31)))+18),0),"")</f>
        <v/>
      </c>
      <c r="H21" s="87" t="str">
        <f aca="false">IF(18&lt;=MIN($B$1,COUNTA('Historia miesięczna'!B8:B31)),IFERROR(INDEX('Historia miesięczna'!H8:H31,MAX(0,COUNTA('Historia miesięczna'!B8:B31)-MIN($B$1,COUNTA('Historia miesięczna'!B8:B31)))+18),0),"")</f>
        <v/>
      </c>
      <c r="I21" s="87" t="str">
        <f aca="false">IF(18&lt;=MIN($B$1,COUNTA('Historia miesięczna'!B8:B31)),IFERROR(INDEX('Historia miesięczna'!I8:I31,MAX(0,COUNTA('Historia miesięczna'!B8:B31)-MIN($B$1,COUNTA('Historia miesięczna'!B8:B31)))+18),0),"")</f>
        <v/>
      </c>
      <c r="J21" s="88" t="str">
        <f aca="false">IF(18&lt;=MIN($B$1,COUNTA('Historia miesięczna'!B8:B31)),IFERROR(INDEX('Historia miesięczna'!K8:K31,MAX(0,COUNTA('Historia miesięczna'!B8:B31)-MIN($B$1,COUNTA('Historia miesięczna'!B8:B31)))+18),0),"")</f>
        <v/>
      </c>
    </row>
    <row r="22" customFormat="false" ht="15" hidden="false" customHeight="false" outlineLevel="0" collapsed="false">
      <c r="A22" s="0" t="n">
        <v>19</v>
      </c>
      <c r="B22" s="85" t="str">
        <f aca="false">IF(19&lt;=MIN($B$1,COUNTA('Historia miesięczna'!B8:B31)),INDEX('Historia miesięczna'!B8:B31,MAX(0,COUNTA('Historia miesięczna'!B8:B31)-MIN($B$1,COUNTA('Historia miesięczna'!B8:B31)))+19),"")</f>
        <v/>
      </c>
      <c r="C22" s="86" t="str">
        <f aca="false">IF(19&lt;=MIN($B$1,COUNTA('Historia miesięczna'!B8:B31)),IFERROR(INDEX('Historia miesięczna'!C8:C31,MAX(0,COUNTA('Historia miesięczna'!B8:B31)-MIN($B$1,COUNTA('Historia miesięczna'!B8:B31)))+19),0),"")</f>
        <v/>
      </c>
      <c r="D22" s="86" t="str">
        <f aca="false">IF(19&lt;=MIN($B$1,COUNTA('Historia miesięczna'!B8:B31)),IFERROR(INDEX('Historia miesięczna'!F8:F31,MAX(0,COUNTA('Historia miesięczna'!B8:B31)-MIN($B$1,COUNTA('Historia miesięczna'!B8:B31)))+19),0),"")</f>
        <v/>
      </c>
      <c r="E22" s="86" t="str">
        <f aca="false">IF(19&lt;=MIN($B$1,COUNTA('Historia miesięczna'!B8:B31)),IFERROR(INDEX('Historia miesięczna'!D8:D31,MAX(0,COUNTA('Historia miesięczna'!B8:B31)-MIN($B$1,COUNTA('Historia miesięczna'!B8:B31)))+19),0),"")</f>
        <v/>
      </c>
      <c r="F22" s="86" t="str">
        <f aca="false">IF(19&lt;=MIN($B$1,COUNTA('Historia miesięczna'!B8:B31)),IFERROR(INDEX('Historia miesięczna'!E8:E31,MAX(0,COUNTA('Historia miesięczna'!B8:B31)-MIN($B$1,COUNTA('Historia miesięczna'!B8:B31)))+19),0),"")</f>
        <v/>
      </c>
      <c r="G22" s="87" t="str">
        <f aca="false">IF(19&lt;=MIN($B$1,COUNTA('Historia miesięczna'!B8:B31)),IFERROR(INDEX('Historia miesięczna'!G8:G31,MAX(0,COUNTA('Historia miesięczna'!B8:B31)-MIN($B$1,COUNTA('Historia miesięczna'!B8:B31)))+19),0),"")</f>
        <v/>
      </c>
      <c r="H22" s="87" t="str">
        <f aca="false">IF(19&lt;=MIN($B$1,COUNTA('Historia miesięczna'!B8:B31)),IFERROR(INDEX('Historia miesięczna'!H8:H31,MAX(0,COUNTA('Historia miesięczna'!B8:B31)-MIN($B$1,COUNTA('Historia miesięczna'!B8:B31)))+19),0),"")</f>
        <v/>
      </c>
      <c r="I22" s="87" t="str">
        <f aca="false">IF(19&lt;=MIN($B$1,COUNTA('Historia miesięczna'!B8:B31)),IFERROR(INDEX('Historia miesięczna'!I8:I31,MAX(0,COUNTA('Historia miesięczna'!B8:B31)-MIN($B$1,COUNTA('Historia miesięczna'!B8:B31)))+19),0),"")</f>
        <v/>
      </c>
      <c r="J22" s="88" t="str">
        <f aca="false">IF(19&lt;=MIN($B$1,COUNTA('Historia miesięczna'!B8:B31)),IFERROR(INDEX('Historia miesięczna'!K8:K31,MAX(0,COUNTA('Historia miesięczna'!B8:B31)-MIN($B$1,COUNTA('Historia miesięczna'!B8:B31)))+19),0),"")</f>
        <v/>
      </c>
    </row>
    <row r="23" customFormat="false" ht="15" hidden="false" customHeight="false" outlineLevel="0" collapsed="false">
      <c r="A23" s="0" t="n">
        <v>20</v>
      </c>
      <c r="B23" s="85" t="str">
        <f aca="false">IF(20&lt;=MIN($B$1,COUNTA('Historia miesięczna'!B8:B31)),INDEX('Historia miesięczna'!B8:B31,MAX(0,COUNTA('Historia miesięczna'!B8:B31)-MIN($B$1,COUNTA('Historia miesięczna'!B8:B31)))+20),"")</f>
        <v/>
      </c>
      <c r="C23" s="86" t="str">
        <f aca="false">IF(20&lt;=MIN($B$1,COUNTA('Historia miesięczna'!B8:B31)),IFERROR(INDEX('Historia miesięczna'!C8:C31,MAX(0,COUNTA('Historia miesięczna'!B8:B31)-MIN($B$1,COUNTA('Historia miesięczna'!B8:B31)))+20),0),"")</f>
        <v/>
      </c>
      <c r="D23" s="86" t="str">
        <f aca="false">IF(20&lt;=MIN($B$1,COUNTA('Historia miesięczna'!B8:B31)),IFERROR(INDEX('Historia miesięczna'!F8:F31,MAX(0,COUNTA('Historia miesięczna'!B8:B31)-MIN($B$1,COUNTA('Historia miesięczna'!B8:B31)))+20),0),"")</f>
        <v/>
      </c>
      <c r="E23" s="86" t="str">
        <f aca="false">IF(20&lt;=MIN($B$1,COUNTA('Historia miesięczna'!B8:B31)),IFERROR(INDEX('Historia miesięczna'!D8:D31,MAX(0,COUNTA('Historia miesięczna'!B8:B31)-MIN($B$1,COUNTA('Historia miesięczna'!B8:B31)))+20),0),"")</f>
        <v/>
      </c>
      <c r="F23" s="86" t="str">
        <f aca="false">IF(20&lt;=MIN($B$1,COUNTA('Historia miesięczna'!B8:B31)),IFERROR(INDEX('Historia miesięczna'!E8:E31,MAX(0,COUNTA('Historia miesięczna'!B8:B31)-MIN($B$1,COUNTA('Historia miesięczna'!B8:B31)))+20),0),"")</f>
        <v/>
      </c>
      <c r="G23" s="87" t="str">
        <f aca="false">IF(20&lt;=MIN($B$1,COUNTA('Historia miesięczna'!B8:B31)),IFERROR(INDEX('Historia miesięczna'!G8:G31,MAX(0,COUNTA('Historia miesięczna'!B8:B31)-MIN($B$1,COUNTA('Historia miesięczna'!B8:B31)))+20),0),"")</f>
        <v/>
      </c>
      <c r="H23" s="87" t="str">
        <f aca="false">IF(20&lt;=MIN($B$1,COUNTA('Historia miesięczna'!B8:B31)),IFERROR(INDEX('Historia miesięczna'!H8:H31,MAX(0,COUNTA('Historia miesięczna'!B8:B31)-MIN($B$1,COUNTA('Historia miesięczna'!B8:B31)))+20),0),"")</f>
        <v/>
      </c>
      <c r="I23" s="87" t="str">
        <f aca="false">IF(20&lt;=MIN($B$1,COUNTA('Historia miesięczna'!B8:B31)),IFERROR(INDEX('Historia miesięczna'!I8:I31,MAX(0,COUNTA('Historia miesięczna'!B8:B31)-MIN($B$1,COUNTA('Historia miesięczna'!B8:B31)))+20),0),"")</f>
        <v/>
      </c>
      <c r="J23" s="88" t="str">
        <f aca="false">IF(20&lt;=MIN($B$1,COUNTA('Historia miesięczna'!B8:B31)),IFERROR(INDEX('Historia miesięczna'!K8:K31,MAX(0,COUNTA('Historia miesięczna'!B8:B31)-MIN($B$1,COUNTA('Historia miesięczna'!B8:B31)))+20),0),"")</f>
        <v/>
      </c>
    </row>
    <row r="24" customFormat="false" ht="15" hidden="false" customHeight="false" outlineLevel="0" collapsed="false">
      <c r="A24" s="0" t="n">
        <v>21</v>
      </c>
      <c r="B24" s="85" t="str">
        <f aca="false">IF(21&lt;=MIN($B$1,COUNTA('Historia miesięczna'!B8:B31)),INDEX('Historia miesięczna'!B8:B31,MAX(0,COUNTA('Historia miesięczna'!B8:B31)-MIN($B$1,COUNTA('Historia miesięczna'!B8:B31)))+21),"")</f>
        <v/>
      </c>
      <c r="C24" s="86" t="str">
        <f aca="false">IF(21&lt;=MIN($B$1,COUNTA('Historia miesięczna'!B8:B31)),IFERROR(INDEX('Historia miesięczna'!C8:C31,MAX(0,COUNTA('Historia miesięczna'!B8:B31)-MIN($B$1,COUNTA('Historia miesięczna'!B8:B31)))+21),0),"")</f>
        <v/>
      </c>
      <c r="D24" s="86" t="str">
        <f aca="false">IF(21&lt;=MIN($B$1,COUNTA('Historia miesięczna'!B8:B31)),IFERROR(INDEX('Historia miesięczna'!F8:F31,MAX(0,COUNTA('Historia miesięczna'!B8:B31)-MIN($B$1,COUNTA('Historia miesięczna'!B8:B31)))+21),0),"")</f>
        <v/>
      </c>
      <c r="E24" s="86" t="str">
        <f aca="false">IF(21&lt;=MIN($B$1,COUNTA('Historia miesięczna'!B8:B31)),IFERROR(INDEX('Historia miesięczna'!D8:D31,MAX(0,COUNTA('Historia miesięczna'!B8:B31)-MIN($B$1,COUNTA('Historia miesięczna'!B8:B31)))+21),0),"")</f>
        <v/>
      </c>
      <c r="F24" s="86" t="str">
        <f aca="false">IF(21&lt;=MIN($B$1,COUNTA('Historia miesięczna'!B8:B31)),IFERROR(INDEX('Historia miesięczna'!E8:E31,MAX(0,COUNTA('Historia miesięczna'!B8:B31)-MIN($B$1,COUNTA('Historia miesięczna'!B8:B31)))+21),0),"")</f>
        <v/>
      </c>
      <c r="G24" s="87" t="str">
        <f aca="false">IF(21&lt;=MIN($B$1,COUNTA('Historia miesięczna'!B8:B31)),IFERROR(INDEX('Historia miesięczna'!G8:G31,MAX(0,COUNTA('Historia miesięczna'!B8:B31)-MIN($B$1,COUNTA('Historia miesięczna'!B8:B31)))+21),0),"")</f>
        <v/>
      </c>
      <c r="H24" s="87" t="str">
        <f aca="false">IF(21&lt;=MIN($B$1,COUNTA('Historia miesięczna'!B8:B31)),IFERROR(INDEX('Historia miesięczna'!H8:H31,MAX(0,COUNTA('Historia miesięczna'!B8:B31)-MIN($B$1,COUNTA('Historia miesięczna'!B8:B31)))+21),0),"")</f>
        <v/>
      </c>
      <c r="I24" s="87" t="str">
        <f aca="false">IF(21&lt;=MIN($B$1,COUNTA('Historia miesięczna'!B8:B31)),IFERROR(INDEX('Historia miesięczna'!I8:I31,MAX(0,COUNTA('Historia miesięczna'!B8:B31)-MIN($B$1,COUNTA('Historia miesięczna'!B8:B31)))+21),0),"")</f>
        <v/>
      </c>
      <c r="J24" s="88" t="str">
        <f aca="false">IF(21&lt;=MIN($B$1,COUNTA('Historia miesięczna'!B8:B31)),IFERROR(INDEX('Historia miesięczna'!K8:K31,MAX(0,COUNTA('Historia miesięczna'!B8:B31)-MIN($B$1,COUNTA('Historia miesięczna'!B8:B31)))+21),0),"")</f>
        <v/>
      </c>
    </row>
    <row r="25" customFormat="false" ht="15" hidden="false" customHeight="false" outlineLevel="0" collapsed="false">
      <c r="A25" s="0" t="n">
        <v>22</v>
      </c>
      <c r="B25" s="85" t="str">
        <f aca="false">IF(22&lt;=MIN($B$1,COUNTA('Historia miesięczna'!B8:B31)),INDEX('Historia miesięczna'!B8:B31,MAX(0,COUNTA('Historia miesięczna'!B8:B31)-MIN($B$1,COUNTA('Historia miesięczna'!B8:B31)))+22),"")</f>
        <v/>
      </c>
      <c r="C25" s="86" t="str">
        <f aca="false">IF(22&lt;=MIN($B$1,COUNTA('Historia miesięczna'!B8:B31)),IFERROR(INDEX('Historia miesięczna'!C8:C31,MAX(0,COUNTA('Historia miesięczna'!B8:B31)-MIN($B$1,COUNTA('Historia miesięczna'!B8:B31)))+22),0),"")</f>
        <v/>
      </c>
      <c r="D25" s="86" t="str">
        <f aca="false">IF(22&lt;=MIN($B$1,COUNTA('Historia miesięczna'!B8:B31)),IFERROR(INDEX('Historia miesięczna'!F8:F31,MAX(0,COUNTA('Historia miesięczna'!B8:B31)-MIN($B$1,COUNTA('Historia miesięczna'!B8:B31)))+22),0),"")</f>
        <v/>
      </c>
      <c r="E25" s="86" t="str">
        <f aca="false">IF(22&lt;=MIN($B$1,COUNTA('Historia miesięczna'!B8:B31)),IFERROR(INDEX('Historia miesięczna'!D8:D31,MAX(0,COUNTA('Historia miesięczna'!B8:B31)-MIN($B$1,COUNTA('Historia miesięczna'!B8:B31)))+22),0),"")</f>
        <v/>
      </c>
      <c r="F25" s="86" t="str">
        <f aca="false">IF(22&lt;=MIN($B$1,COUNTA('Historia miesięczna'!B8:B31)),IFERROR(INDEX('Historia miesięczna'!E8:E31,MAX(0,COUNTA('Historia miesięczna'!B8:B31)-MIN($B$1,COUNTA('Historia miesięczna'!B8:B31)))+22),0),"")</f>
        <v/>
      </c>
      <c r="G25" s="87" t="str">
        <f aca="false">IF(22&lt;=MIN($B$1,COUNTA('Historia miesięczna'!B8:B31)),IFERROR(INDEX('Historia miesięczna'!G8:G31,MAX(0,COUNTA('Historia miesięczna'!B8:B31)-MIN($B$1,COUNTA('Historia miesięczna'!B8:B31)))+22),0),"")</f>
        <v/>
      </c>
      <c r="H25" s="87" t="str">
        <f aca="false">IF(22&lt;=MIN($B$1,COUNTA('Historia miesięczna'!B8:B31)),IFERROR(INDEX('Historia miesięczna'!H8:H31,MAX(0,COUNTA('Historia miesięczna'!B8:B31)-MIN($B$1,COUNTA('Historia miesięczna'!B8:B31)))+22),0),"")</f>
        <v/>
      </c>
      <c r="I25" s="87" t="str">
        <f aca="false">IF(22&lt;=MIN($B$1,COUNTA('Historia miesięczna'!B8:B31)),IFERROR(INDEX('Historia miesięczna'!I8:I31,MAX(0,COUNTA('Historia miesięczna'!B8:B31)-MIN($B$1,COUNTA('Historia miesięczna'!B8:B31)))+22),0),"")</f>
        <v/>
      </c>
      <c r="J25" s="88" t="str">
        <f aca="false">IF(22&lt;=MIN($B$1,COUNTA('Historia miesięczna'!B8:B31)),IFERROR(INDEX('Historia miesięczna'!K8:K31,MAX(0,COUNTA('Historia miesięczna'!B8:B31)-MIN($B$1,COUNTA('Historia miesięczna'!B8:B31)))+22),0),"")</f>
        <v/>
      </c>
    </row>
    <row r="26" customFormat="false" ht="15" hidden="false" customHeight="false" outlineLevel="0" collapsed="false">
      <c r="A26" s="0" t="n">
        <v>23</v>
      </c>
      <c r="B26" s="85" t="str">
        <f aca="false">IF(23&lt;=MIN($B$1,COUNTA('Historia miesięczna'!B8:B31)),INDEX('Historia miesięczna'!B8:B31,MAX(0,COUNTA('Historia miesięczna'!B8:B31)-MIN($B$1,COUNTA('Historia miesięczna'!B8:B31)))+23),"")</f>
        <v/>
      </c>
      <c r="C26" s="86" t="str">
        <f aca="false">IF(23&lt;=MIN($B$1,COUNTA('Historia miesięczna'!B8:B31)),IFERROR(INDEX('Historia miesięczna'!C8:C31,MAX(0,COUNTA('Historia miesięczna'!B8:B31)-MIN($B$1,COUNTA('Historia miesięczna'!B8:B31)))+23),0),"")</f>
        <v/>
      </c>
      <c r="D26" s="86" t="str">
        <f aca="false">IF(23&lt;=MIN($B$1,COUNTA('Historia miesięczna'!B8:B31)),IFERROR(INDEX('Historia miesięczna'!F8:F31,MAX(0,COUNTA('Historia miesięczna'!B8:B31)-MIN($B$1,COUNTA('Historia miesięczna'!B8:B31)))+23),0),"")</f>
        <v/>
      </c>
      <c r="E26" s="86" t="str">
        <f aca="false">IF(23&lt;=MIN($B$1,COUNTA('Historia miesięczna'!B8:B31)),IFERROR(INDEX('Historia miesięczna'!D8:D31,MAX(0,COUNTA('Historia miesięczna'!B8:B31)-MIN($B$1,COUNTA('Historia miesięczna'!B8:B31)))+23),0),"")</f>
        <v/>
      </c>
      <c r="F26" s="86" t="str">
        <f aca="false">IF(23&lt;=MIN($B$1,COUNTA('Historia miesięczna'!B8:B31)),IFERROR(INDEX('Historia miesięczna'!E8:E31,MAX(0,COUNTA('Historia miesięczna'!B8:B31)-MIN($B$1,COUNTA('Historia miesięczna'!B8:B31)))+23),0),"")</f>
        <v/>
      </c>
      <c r="G26" s="87" t="str">
        <f aca="false">IF(23&lt;=MIN($B$1,COUNTA('Historia miesięczna'!B8:B31)),IFERROR(INDEX('Historia miesięczna'!G8:G31,MAX(0,COUNTA('Historia miesięczna'!B8:B31)-MIN($B$1,COUNTA('Historia miesięczna'!B8:B31)))+23),0),"")</f>
        <v/>
      </c>
      <c r="H26" s="87" t="str">
        <f aca="false">IF(23&lt;=MIN($B$1,COUNTA('Historia miesięczna'!B8:B31)),IFERROR(INDEX('Historia miesięczna'!H8:H31,MAX(0,COUNTA('Historia miesięczna'!B8:B31)-MIN($B$1,COUNTA('Historia miesięczna'!B8:B31)))+23),0),"")</f>
        <v/>
      </c>
      <c r="I26" s="87" t="str">
        <f aca="false">IF(23&lt;=MIN($B$1,COUNTA('Historia miesięczna'!B8:B31)),IFERROR(INDEX('Historia miesięczna'!I8:I31,MAX(0,COUNTA('Historia miesięczna'!B8:B31)-MIN($B$1,COUNTA('Historia miesięczna'!B8:B31)))+23),0),"")</f>
        <v/>
      </c>
      <c r="J26" s="88" t="str">
        <f aca="false">IF(23&lt;=MIN($B$1,COUNTA('Historia miesięczna'!B8:B31)),IFERROR(INDEX('Historia miesięczna'!K8:K31,MAX(0,COUNTA('Historia miesięczna'!B8:B31)-MIN($B$1,COUNTA('Historia miesięczna'!B8:B31)))+23),0),"")</f>
        <v/>
      </c>
    </row>
    <row r="27" customFormat="false" ht="15" hidden="false" customHeight="false" outlineLevel="0" collapsed="false">
      <c r="A27" s="0" t="n">
        <v>24</v>
      </c>
      <c r="B27" s="85" t="str">
        <f aca="false">IF(24&lt;=MIN($B$1,COUNTA('Historia miesięczna'!B8:B31)),INDEX('Historia miesięczna'!B8:B31,MAX(0,COUNTA('Historia miesięczna'!B8:B31)-MIN($B$1,COUNTA('Historia miesięczna'!B8:B31)))+24),"")</f>
        <v/>
      </c>
      <c r="C27" s="86" t="str">
        <f aca="false">IF(24&lt;=MIN($B$1,COUNTA('Historia miesięczna'!B8:B31)),IFERROR(INDEX('Historia miesięczna'!C8:C31,MAX(0,COUNTA('Historia miesięczna'!B8:B31)-MIN($B$1,COUNTA('Historia miesięczna'!B8:B31)))+24),0),"")</f>
        <v/>
      </c>
      <c r="D27" s="86" t="str">
        <f aca="false">IF(24&lt;=MIN($B$1,COUNTA('Historia miesięczna'!B8:B31)),IFERROR(INDEX('Historia miesięczna'!F8:F31,MAX(0,COUNTA('Historia miesięczna'!B8:B31)-MIN($B$1,COUNTA('Historia miesięczna'!B8:B31)))+24),0),"")</f>
        <v/>
      </c>
      <c r="E27" s="86" t="str">
        <f aca="false">IF(24&lt;=MIN($B$1,COUNTA('Historia miesięczna'!B8:B31)),IFERROR(INDEX('Historia miesięczna'!D8:D31,MAX(0,COUNTA('Historia miesięczna'!B8:B31)-MIN($B$1,COUNTA('Historia miesięczna'!B8:B31)))+24),0),"")</f>
        <v/>
      </c>
      <c r="F27" s="86" t="str">
        <f aca="false">IF(24&lt;=MIN($B$1,COUNTA('Historia miesięczna'!B8:B31)),IFERROR(INDEX('Historia miesięczna'!E8:E31,MAX(0,COUNTA('Historia miesięczna'!B8:B31)-MIN($B$1,COUNTA('Historia miesięczna'!B8:B31)))+24),0),"")</f>
        <v/>
      </c>
      <c r="G27" s="87" t="str">
        <f aca="false">IF(24&lt;=MIN($B$1,COUNTA('Historia miesięczna'!B8:B31)),IFERROR(INDEX('Historia miesięczna'!G8:G31,MAX(0,COUNTA('Historia miesięczna'!B8:B31)-MIN($B$1,COUNTA('Historia miesięczna'!B8:B31)))+24),0),"")</f>
        <v/>
      </c>
      <c r="H27" s="87" t="str">
        <f aca="false">IF(24&lt;=MIN($B$1,COUNTA('Historia miesięczna'!B8:B31)),IFERROR(INDEX('Historia miesięczna'!H8:H31,MAX(0,COUNTA('Historia miesięczna'!B8:B31)-MIN($B$1,COUNTA('Historia miesięczna'!B8:B31)))+24),0),"")</f>
        <v/>
      </c>
      <c r="I27" s="87" t="str">
        <f aca="false">IF(24&lt;=MIN($B$1,COUNTA('Historia miesięczna'!B8:B31)),IFERROR(INDEX('Historia miesięczna'!I8:I31,MAX(0,COUNTA('Historia miesięczna'!B8:B31)-MIN($B$1,COUNTA('Historia miesięczna'!B8:B31)))+24),0),"")</f>
        <v/>
      </c>
      <c r="J27" s="88" t="str">
        <f aca="false">IF(24&lt;=MIN($B$1,COUNTA('Historia miesięczna'!B8:B31)),IFERROR(INDEX('Historia miesięczna'!K8:K31,MAX(0,COUNTA('Historia miesięczna'!B8:B31)-MIN($B$1,COUNTA('Historia miesięczna'!B8:B31)))+24),0),"")</f>
        <v/>
      </c>
    </row>
  </sheetData>
  <dataValidations count="1">
    <dataValidation allowBlank="false" errorStyle="stop" operator="between" showDropDown="false" showErrorMessage="false" showInputMessage="false" sqref="B1" type="list">
      <formula1>"3,6,12,24"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2026-06-11T05:01:53Z</dcterms:created>
  <dc:creator>openpyxl</dc:creator>
  <dc:description/>
  <dc:language>en-US</dc:language>
  <cp:lastModifiedBy/>
  <dcterms:modified xsi:type="dcterms:W3CDTF">2026-07-03T11:42:15Z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